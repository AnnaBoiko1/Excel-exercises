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40" windowHeight="17020"/>
  </bookViews>
  <sheets>
    <sheet name="Sheet1" sheetId="1" r:id="rId1"/>
  </sheets>
  <definedNames>
    <definedName name="Hourly_Pay_Rate">Sheet1!$M$3</definedName>
    <definedName name="Nat_Ins_Rate">Sheet1!$M$4</definedName>
    <definedName name="Pension_Cont">Sheet1!$M$6</definedName>
    <definedName name="Tax_Rate">Sheet1!$M$5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<sst xmlns="http://schemas.openxmlformats.org/spreadsheetml/2006/main" count="61" uniqueCount="57">
  <si>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Pesko Part-time Workers Weekly Pay</t>
  </si>
  <si>
    <t>Staff ID</t>
  </si>
  <si>
    <t>Surname</t>
  </si>
  <si>
    <t>Initial</t>
  </si>
  <si>
    <t>Hours Worked</t>
  </si>
  <si>
    <t>Pay</t>
  </si>
  <si>
    <t>Nat Ins</t>
  </si>
  <si>
    <t>Tax</t>
  </si>
  <si>
    <t>Pension</t>
  </si>
  <si>
    <t>Final Pay</t>
  </si>
  <si>
    <t>Hourly Pay Rate</t>
  </si>
  <si>
    <t>M/141</t>
  </si>
  <si>
    <t>Abbot</t>
  </si>
  <si>
    <t>R</t>
  </si>
  <si>
    <t>Nat Ins Rate</t>
  </si>
  <si>
    <t>M/289</t>
  </si>
  <si>
    <t>Arlington</t>
  </si>
  <si>
    <t>T</t>
  </si>
  <si>
    <t>Tax Rate</t>
  </si>
  <si>
    <t>F/112</t>
  </si>
  <si>
    <t>Brown</t>
  </si>
  <si>
    <t>H</t>
  </si>
  <si>
    <t>Pension Cont</t>
  </si>
  <si>
    <t>F/219</t>
  </si>
  <si>
    <t>Davies</t>
  </si>
  <si>
    <t>F</t>
  </si>
  <si>
    <t>F/881</t>
  </si>
  <si>
    <t>Davis</t>
  </si>
  <si>
    <t>G</t>
  </si>
  <si>
    <t>M/448</t>
  </si>
  <si>
    <t>W</t>
  </si>
  <si>
    <t>F/66</t>
  </si>
  <si>
    <t>Fox</t>
  </si>
  <si>
    <t>S</t>
  </si>
  <si>
    <t>M/557</t>
  </si>
  <si>
    <t>Kelsey</t>
  </si>
  <si>
    <t>A</t>
  </si>
  <si>
    <t>M/44</t>
  </si>
  <si>
    <t>Marsh</t>
  </si>
  <si>
    <t>M/191</t>
  </si>
  <si>
    <t>Oliver</t>
  </si>
  <si>
    <t xml:space="preserve">M </t>
  </si>
  <si>
    <t>M/352</t>
  </si>
  <si>
    <t>Potts</t>
  </si>
  <si>
    <t>B</t>
  </si>
  <si>
    <t>F/336</t>
  </si>
  <si>
    <t>Taylor</t>
  </si>
  <si>
    <t>TOTAL</t>
  </si>
  <si>
    <t>Cond formats in cols:</t>
  </si>
  <si>
    <t>Females</t>
  </si>
  <si>
    <t>Contain letter "l"</t>
  </si>
  <si>
    <t>&gt;=18</t>
  </si>
  <si>
    <t>Top 10%</t>
  </si>
  <si>
    <t>&gt;average</t>
  </si>
  <si>
    <t>data bars</t>
  </si>
  <si>
    <t>Mixed</t>
  </si>
  <si>
    <t>icon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</si>
</sst>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£&quot;#,##0.00"/>
    <numFmt numFmtId="177" formatCode="0.0%"/>
  </numFmts>
  <fonts count="25">
    <font>
      <sz val="11"/>
      <color theme="1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0" borderId="0" xfId="0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76" fontId="0" fillId="0" borderId="1" xfId="0" applyNumberFormat="1" applyBorder="1"/>
    <xf numFmtId="176" fontId="0" fillId="0" borderId="2" xfId="0" applyNumberFormat="1" applyBorder="1"/>
    <xf numFmtId="9" fontId="0" fillId="3" borderId="1" xfId="0" applyNumberFormat="1" applyFill="1" applyBorder="1"/>
    <xf numFmtId="177" fontId="0" fillId="3" borderId="1" xfId="0" applyNumberFormat="1" applyFill="1" applyBorder="1"/>
    <xf numFmtId="0" fontId="3" fillId="2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176" fontId="3" fillId="2" borderId="1" xfId="0" applyNumberFormat="1" applyFont="1" applyFill="1" applyBorder="1"/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zoomScale="80" zoomScaleNormal="80" workbookViewId="0">
      <selection activeCell="I35" sqref="I35"/>
    </sheetView>
  </sheetViews>
  <sheetFormatPr defaultColWidth="9" defaultRowHeight="16.8"/>
  <cols>
    <col min="1" max="1" width="11" customWidth="1"/>
    <col min="4" max="4" width="9.859375" style="1" customWidth="1"/>
    <col min="5" max="5" width="17.140625" customWidth="1"/>
    <col min="6" max="6" width="10" customWidth="1"/>
    <col min="7" max="7" width="10.7109375" customWidth="1"/>
    <col min="8" max="8" width="15.7109375" customWidth="1"/>
    <col min="9" max="9" width="12.140625" customWidth="1"/>
    <col min="10" max="10" width="10" customWidth="1"/>
    <col min="11" max="11" width="4.2890625" customWidth="1"/>
    <col min="12" max="12" width="16.4296875" customWidth="1"/>
  </cols>
  <sheetData>
    <row r="1" ht="23.2" spans="2:13">
      <c r="B1" s="2" t="s">
        <v>0</v>
      </c>
    </row>
    <row r="3" spans="2:13">
      <c r="B3" s="3" t="s">
        <v>1</v>
      </c>
      <c r="C3" s="3" t="s">
        <v>2</v>
      </c>
      <c r="D3" s="4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6"/>
      <c r="L3" t="s">
        <v>10</v>
      </c>
      <c r="M3" s="7">
        <v>9.87</v>
      </c>
    </row>
    <row r="4" spans="2:13">
      <c r="B4" s="8" t="s">
        <v>11</v>
      </c>
      <c r="C4" s="8" t="s">
        <v>12</v>
      </c>
      <c r="D4" s="9" t="s">
        <v>13</v>
      </c>
      <c r="E4" s="8">
        <v>16</v>
      </c>
      <c r="F4" s="10">
        <f t="shared" ref="F4:F15" si="0">E4*Hourly_Pay_Rate</f>
        <v>157.92</v>
      </c>
      <c r="G4" s="10">
        <f t="shared" ref="G4:G15" si="1">F4*Nat_Ins_Rate</f>
        <v>9.94896</v>
      </c>
      <c r="H4" s="11">
        <f t="shared" ref="H4:H15" si="2">F4*Tax_Rate</f>
        <v>31.584</v>
      </c>
      <c r="I4" s="10">
        <f t="shared" ref="I4:I16" si="3">F4*Pension_Cont</f>
        <v>6.00096</v>
      </c>
      <c r="J4" s="10">
        <f>F4-SUM(G4:I4)</f>
        <v>110.38608</v>
      </c>
      <c r="K4" s="6"/>
      <c r="L4" t="s">
        <v>14</v>
      </c>
      <c r="M4" s="12">
        <v>0.063</v>
      </c>
    </row>
    <row r="5" spans="2:13">
      <c r="B5" s="8" t="s">
        <v>15</v>
      </c>
      <c r="C5" s="8" t="s">
        <v>16</v>
      </c>
      <c r="D5" s="9" t="s">
        <v>17</v>
      </c>
      <c r="E5" s="8">
        <v>18</v>
      </c>
      <c r="F5" s="10">
        <f t="shared" si="0"/>
        <v>177.66</v>
      </c>
      <c r="G5" s="10">
        <f t="shared" si="1"/>
        <v>11.19258</v>
      </c>
      <c r="H5" s="10">
        <f t="shared" si="2"/>
        <v>35.532</v>
      </c>
      <c r="I5" s="10">
        <f t="shared" si="3"/>
        <v>6.75108</v>
      </c>
      <c r="J5" s="10">
        <f t="shared" ref="J5:J15" si="4">F5-SUM(G5:I5)</f>
        <v>124.18434</v>
      </c>
      <c r="K5" s="6"/>
      <c r="L5" t="s">
        <v>18</v>
      </c>
      <c r="M5" s="12">
        <v>0.2</v>
      </c>
    </row>
    <row r="6" spans="2:13">
      <c r="B6" s="8" t="s">
        <v>19</v>
      </c>
      <c r="C6" s="8" t="s">
        <v>20</v>
      </c>
      <c r="D6" s="9" t="s">
        <v>21</v>
      </c>
      <c r="E6" s="8">
        <v>23</v>
      </c>
      <c r="F6" s="10">
        <f t="shared" si="0"/>
        <v>227.01</v>
      </c>
      <c r="G6" s="10">
        <f t="shared" si="1"/>
        <v>14.30163</v>
      </c>
      <c r="H6" s="10">
        <f t="shared" si="2"/>
        <v>45.402</v>
      </c>
      <c r="I6" s="10">
        <f t="shared" si="3"/>
        <v>8.62638</v>
      </c>
      <c r="J6" s="10">
        <f t="shared" si="4"/>
        <v>158.67999</v>
      </c>
      <c r="K6" s="6"/>
      <c r="L6" t="s">
        <v>22</v>
      </c>
      <c r="M6" s="13">
        <v>0.038</v>
      </c>
    </row>
    <row r="7" spans="2:13">
      <c r="B7" s="8" t="s">
        <v>23</v>
      </c>
      <c r="C7" s="8" t="s">
        <v>24</v>
      </c>
      <c r="D7" s="9" t="s">
        <v>25</v>
      </c>
      <c r="E7" s="8">
        <v>19</v>
      </c>
      <c r="F7" s="10">
        <f t="shared" si="0"/>
        <v>187.53</v>
      </c>
      <c r="G7" s="10">
        <f t="shared" si="1"/>
        <v>11.81439</v>
      </c>
      <c r="H7" s="10">
        <f t="shared" si="2"/>
        <v>37.506</v>
      </c>
      <c r="I7" s="10">
        <f t="shared" si="3"/>
        <v>7.12614</v>
      </c>
      <c r="J7" s="10">
        <f t="shared" si="4"/>
        <v>131.08347</v>
      </c>
      <c r="K7" s="6"/>
    </row>
    <row r="8" spans="2:13">
      <c r="B8" s="8" t="s">
        <v>26</v>
      </c>
      <c r="C8" s="8" t="s">
        <v>27</v>
      </c>
      <c r="D8" s="9" t="s">
        <v>28</v>
      </c>
      <c r="E8" s="8">
        <v>18</v>
      </c>
      <c r="F8" s="10">
        <f t="shared" si="0"/>
        <v>177.66</v>
      </c>
      <c r="G8" s="10">
        <f t="shared" si="1"/>
        <v>11.19258</v>
      </c>
      <c r="H8" s="10">
        <f t="shared" si="2"/>
        <v>35.532</v>
      </c>
      <c r="I8" s="10">
        <f t="shared" si="3"/>
        <v>6.75108</v>
      </c>
      <c r="J8" s="10">
        <f t="shared" si="4"/>
        <v>124.18434</v>
      </c>
      <c r="K8" s="6"/>
    </row>
    <row r="9" spans="2:13">
      <c r="B9" s="8" t="s">
        <v>29</v>
      </c>
      <c r="C9" s="8" t="s">
        <v>27</v>
      </c>
      <c r="D9" s="9" t="s">
        <v>30</v>
      </c>
      <c r="E9" s="8">
        <v>18</v>
      </c>
      <c r="F9" s="10">
        <f t="shared" si="0"/>
        <v>177.66</v>
      </c>
      <c r="G9" s="10">
        <f t="shared" si="1"/>
        <v>11.19258</v>
      </c>
      <c r="H9" s="10">
        <f t="shared" si="2"/>
        <v>35.532</v>
      </c>
      <c r="I9" s="10">
        <f t="shared" si="3"/>
        <v>6.75108</v>
      </c>
      <c r="J9" s="10">
        <f t="shared" si="4"/>
        <v>124.18434</v>
      </c>
      <c r="K9" s="6"/>
    </row>
    <row r="10" spans="2:13">
      <c r="B10" s="8" t="s">
        <v>31</v>
      </c>
      <c r="C10" s="8" t="s">
        <v>32</v>
      </c>
      <c r="D10" s="9" t="s">
        <v>33</v>
      </c>
      <c r="E10" s="8">
        <v>12</v>
      </c>
      <c r="F10" s="10">
        <f t="shared" si="0"/>
        <v>118.44</v>
      </c>
      <c r="G10" s="10">
        <f t="shared" si="1"/>
        <v>7.46172</v>
      </c>
      <c r="H10" s="10">
        <f t="shared" si="2"/>
        <v>23.688</v>
      </c>
      <c r="I10" s="10">
        <f t="shared" si="3"/>
        <v>4.50072</v>
      </c>
      <c r="J10" s="10">
        <f t="shared" si="4"/>
        <v>82.78956</v>
      </c>
      <c r="K10" s="6"/>
    </row>
    <row r="11" spans="2:13">
      <c r="B11" s="8" t="s">
        <v>34</v>
      </c>
      <c r="C11" s="8" t="s">
        <v>35</v>
      </c>
      <c r="D11" s="9" t="s">
        <v>36</v>
      </c>
      <c r="E11" s="8">
        <v>16</v>
      </c>
      <c r="F11" s="10">
        <f t="shared" si="0"/>
        <v>157.92</v>
      </c>
      <c r="G11" s="10">
        <f t="shared" si="1"/>
        <v>9.94896</v>
      </c>
      <c r="H11" s="10">
        <f t="shared" si="2"/>
        <v>31.584</v>
      </c>
      <c r="I11" s="10">
        <f t="shared" si="3"/>
        <v>6.00096</v>
      </c>
      <c r="J11" s="10">
        <f t="shared" si="4"/>
        <v>110.38608</v>
      </c>
      <c r="K11" s="6"/>
    </row>
    <row r="12" spans="2:13">
      <c r="B12" s="8" t="s">
        <v>37</v>
      </c>
      <c r="C12" s="8" t="s">
        <v>38</v>
      </c>
      <c r="D12" s="9" t="s">
        <v>21</v>
      </c>
      <c r="E12" s="8">
        <v>16</v>
      </c>
      <c r="F12" s="10">
        <f t="shared" si="0"/>
        <v>157.92</v>
      </c>
      <c r="G12" s="10">
        <f t="shared" si="1"/>
        <v>9.94896</v>
      </c>
      <c r="H12" s="10">
        <f t="shared" si="2"/>
        <v>31.584</v>
      </c>
      <c r="I12" s="10">
        <f t="shared" si="3"/>
        <v>6.00096</v>
      </c>
      <c r="J12" s="10">
        <f t="shared" si="4"/>
        <v>110.38608</v>
      </c>
      <c r="K12" s="6"/>
    </row>
    <row r="13" spans="2:13">
      <c r="B13" s="8" t="s">
        <v>39</v>
      </c>
      <c r="C13" s="8" t="s">
        <v>40</v>
      </c>
      <c r="D13" s="9" t="s">
        <v>41</v>
      </c>
      <c r="E13" s="8">
        <v>18</v>
      </c>
      <c r="F13" s="10">
        <f t="shared" si="0"/>
        <v>177.66</v>
      </c>
      <c r="G13" s="10">
        <f t="shared" si="1"/>
        <v>11.19258</v>
      </c>
      <c r="H13" s="10">
        <f t="shared" si="2"/>
        <v>35.532</v>
      </c>
      <c r="I13" s="10">
        <f t="shared" si="3"/>
        <v>6.75108</v>
      </c>
      <c r="J13" s="10">
        <f t="shared" si="4"/>
        <v>124.18434</v>
      </c>
      <c r="K13" s="6"/>
    </row>
    <row r="14" spans="2:13">
      <c r="B14" s="8" t="s">
        <v>42</v>
      </c>
      <c r="C14" s="8" t="s">
        <v>43</v>
      </c>
      <c r="D14" s="9" t="s">
        <v>44</v>
      </c>
      <c r="E14" s="8">
        <v>22</v>
      </c>
      <c r="F14" s="10">
        <f t="shared" si="0"/>
        <v>217.14</v>
      </c>
      <c r="G14" s="10">
        <f t="shared" si="1"/>
        <v>13.67982</v>
      </c>
      <c r="H14" s="10">
        <f t="shared" si="2"/>
        <v>43.428</v>
      </c>
      <c r="I14" s="10">
        <f t="shared" si="3"/>
        <v>8.25132</v>
      </c>
      <c r="J14" s="10">
        <f t="shared" si="4"/>
        <v>151.78086</v>
      </c>
      <c r="K14" s="6"/>
    </row>
    <row r="15" spans="2:13">
      <c r="B15" s="8" t="s">
        <v>45</v>
      </c>
      <c r="C15" s="8" t="s">
        <v>46</v>
      </c>
      <c r="D15" s="9" t="s">
        <v>21</v>
      </c>
      <c r="E15" s="8">
        <v>12</v>
      </c>
      <c r="F15" s="10">
        <f t="shared" si="0"/>
        <v>118.44</v>
      </c>
      <c r="G15" s="10">
        <f t="shared" si="1"/>
        <v>7.46172</v>
      </c>
      <c r="H15" s="10">
        <f t="shared" si="2"/>
        <v>23.688</v>
      </c>
      <c r="I15" s="10">
        <f t="shared" si="3"/>
        <v>4.50072</v>
      </c>
      <c r="J15" s="10">
        <f t="shared" si="4"/>
        <v>82.78956</v>
      </c>
      <c r="K15" s="6"/>
    </row>
    <row r="16" spans="2:13">
      <c r="B16" s="14" t="s">
        <v>47</v>
      </c>
      <c r="C16" s="15"/>
      <c r="D16" s="16"/>
      <c r="E16" s="14">
        <f t="shared" ref="E16:J16" si="5">SUM(E4:E15)</f>
        <v>208</v>
      </c>
      <c r="F16" s="17">
        <f t="shared" si="5"/>
        <v>2052.96</v>
      </c>
      <c r="G16" s="17">
        <f t="shared" si="5"/>
        <v>129.33648</v>
      </c>
      <c r="H16" s="17">
        <f t="shared" si="5"/>
        <v>410.592</v>
      </c>
      <c r="I16" s="17">
        <f t="shared" si="3"/>
        <v>78.01248</v>
      </c>
      <c r="J16" s="17">
        <f t="shared" si="5"/>
        <v>1435.01904</v>
      </c>
    </row>
    <row r="17" spans="1:10">
      <c r="D17"/>
    </row>
    <row r="18" ht="63" customHeight="1" spans="1:10">
      <c r="A18" s="18" t="s">
        <v>48</v>
      </c>
      <c r="B18" s="19" t="s">
        <v>49</v>
      </c>
      <c r="C18" s="19" t="s">
        <v>50</v>
      </c>
      <c r="D18" s="19" t="s">
        <v>21</v>
      </c>
      <c r="E18" s="19" t="s">
        <v>51</v>
      </c>
      <c r="F18" s="19" t="s">
        <v>52</v>
      </c>
      <c r="G18" s="19" t="s">
        <v>53</v>
      </c>
      <c r="H18" s="19" t="s">
        <v>54</v>
      </c>
      <c r="I18" s="19" t="s">
        <v>55</v>
      </c>
      <c r="J18" s="19" t="s">
        <v>56</v>
      </c>
    </row>
  </sheetData>
  <conditionalFormatting sqref="J26">
    <cfRule type="expression" dxfId="0" priority="11">
      <formula>ISNUMBER(SEARCH("l",$C$4:$C$15))</formula>
    </cfRule>
  </conditionalFormatting>
  <conditionalFormatting sqref="B4:B15">
    <cfRule type="containsText" dxfId="1" priority="13" operator="between" text="F">
      <formula>NOT(ISERROR(SEARCH("F",B4)))</formula>
    </cfRule>
  </conditionalFormatting>
  <conditionalFormatting sqref="C4:C15">
    <cfRule type="expression" dxfId="2" priority="12">
      <formula>ISNUMBER(SEARCH("l",$C$4:$C$15))</formula>
    </cfRule>
    <cfRule type="containsText" dxfId="1" priority="10" operator="between" text="l">
      <formula>NOT(ISERROR(SEARCH("l",C4)))</formula>
    </cfRule>
  </conditionalFormatting>
  <conditionalFormatting sqref="D4:D15">
    <cfRule type="cellIs" dxfId="1" priority="9" operator="equal">
      <formula>"H"</formula>
    </cfRule>
  </conditionalFormatting>
  <conditionalFormatting sqref="E4:E15">
    <cfRule type="cellIs" dxfId="1" priority="8" operator="greaterThan">
      <formula>18</formula>
    </cfRule>
    <cfRule type="cellIs" dxfId="1" priority="7" operator="greaterThan">
      <formula>17.5</formula>
    </cfRule>
  </conditionalFormatting>
  <conditionalFormatting sqref="F4:F15">
    <cfRule type="top10" dxfId="3" priority="6" percent="1" rank="10"/>
  </conditionalFormatting>
  <conditionalFormatting sqref="G4:G15">
    <cfRule type="aboveAverage" dxfId="3" priority="5"/>
  </conditionalFormatting>
  <conditionalFormatting sqref="H4:H1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{dda2b8f1-ae1a-4b16-a751-6bb1b60668fd}</x14:id>
        </ext>
      </extLst>
    </cfRule>
  </conditionalFormatting>
  <conditionalFormatting sqref="I4:I15">
    <cfRule type="colorScale" priority="3">
      <colorScale>
        <cfvo type="min"/>
        <cfvo type="max"/>
        <color rgb="FFF8696B"/>
        <color rgb="FFFCFCFF"/>
      </colorScale>
    </cfRule>
    <cfRule type="iconSet" priority="2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a2b8f1-ae1a-4b16-a751-6bb1b60668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iconSet" priority="1" id="{268cc315-372e-4cee-bf6d-407121427e6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J4:J15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Anna Boiko</cp:lastModifiedBy>
  <dcterms:created xsi:type="dcterms:W3CDTF">2018-02-08T10:55:00Z</dcterms:created>
  <dcterms:modified xsi:type="dcterms:W3CDTF">2026-08-03T00:06:08Z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25DF401BA1F3A38AB013706A16330C55_42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