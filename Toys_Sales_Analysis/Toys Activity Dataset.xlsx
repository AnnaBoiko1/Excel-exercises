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80" windowHeight="17020"/>
  </bookViews>
  <sheets>
    <sheet name="Anna Group 4" sheetId="1" r:id="rId1"/>
    <sheet name="PivotTableCategorie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<sst xmlns="http://schemas.openxmlformats.org/spreadsheetml/2006/main" count="55" uniqueCount="33">
  <si>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Toys Sales Report</t>
  </si>
  <si>
    <t>Today's offer Disc:</t>
  </si>
  <si>
    <t>Category</t>
  </si>
  <si>
    <t>Toys Ordered</t>
  </si>
  <si>
    <t>Price Each</t>
  </si>
  <si>
    <t>Q. Ordered</t>
  </si>
  <si>
    <t>Cost</t>
  </si>
  <si>
    <t>Discount</t>
  </si>
  <si>
    <t>Final Cost</t>
  </si>
  <si>
    <t>Offer</t>
  </si>
  <si>
    <t>Dolls</t>
  </si>
  <si>
    <t>BBQ Barbie Doll</t>
  </si>
  <si>
    <t>Prince Eric Doll</t>
  </si>
  <si>
    <t>Princess Jasmine Doll</t>
  </si>
  <si>
    <t>Action figures</t>
  </si>
  <si>
    <t>BatMan</t>
  </si>
  <si>
    <t xml:space="preserve">Spiderman </t>
  </si>
  <si>
    <t>Educational Toys</t>
  </si>
  <si>
    <t>Robot Kit</t>
  </si>
  <si>
    <t>Creative toys</t>
  </si>
  <si>
    <t>Spirograph</t>
  </si>
  <si>
    <t>Lego</t>
  </si>
  <si>
    <t>Speak and Spell</t>
  </si>
  <si>
    <t>Electronic Toys</t>
  </si>
  <si>
    <t>Digital Pet</t>
  </si>
  <si>
    <t>Robot</t>
  </si>
  <si>
    <t>Games</t>
  </si>
  <si>
    <t>PS5</t>
  </si>
  <si>
    <t>Xbox</t>
  </si>
  <si>
    <t>Stickers</t>
  </si>
  <si>
    <t>Total Price</t>
  </si>
  <si>
    <t xml:space="preserve"> Total Quantity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</si>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</sst>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£&quot;#,##0;\-&quot;£&quot;#,##0"/>
    <numFmt numFmtId="7" formatCode="&quot;£&quot;#,##0.00;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</font>
    <font>
      <b/>
      <sz val="15"/>
      <color theme="0"/>
      <name val="Calibri"/>
      <charset val="134"/>
      <scheme val="minor"/>
    </font>
    <font>
      <sz val="14"/>
      <color theme="1"/>
      <name val="Calibri"/>
      <charset val="134"/>
    </font>
    <font>
      <sz val="12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0" fillId="0" borderId="0" xfId="0" applyFill="1"/>
    <xf numFmtId="0" fontId="1" fillId="2" borderId="1" xfId="12" applyFont="1" applyFill="1" applyBorder="1" applyAlignment="1">
      <alignment horizontal="center" vertical="center"/>
    </xf>
    <xf numFmtId="0" fontId="1" fillId="2" borderId="1" xfId="12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9" fontId="2" fillId="0" borderId="0" xfId="0" applyNumberFormat="1" applyFont="1" applyFill="1" applyAlignment="1">
      <alignment horizontal="left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7" fontId="3" fillId="4" borderId="6" xfId="0" applyNumberFormat="1" applyFont="1" applyFill="1" applyBorder="1" applyAlignment="1">
      <alignment horizontal="center" vertical="center"/>
    </xf>
    <xf numFmtId="7" fontId="3" fillId="4" borderId="6" xfId="0" applyNumberFormat="1" applyFont="1" applyFill="1" applyBorder="1" applyAlignment="1">
      <alignment horizontal="center" vertical="center"/>
    </xf>
    <xf numFmtId="9" fontId="0" fillId="4" borderId="6" xfId="0" applyNumberFormat="1" applyFont="1" applyFill="1" applyBorder="1" applyAlignment="1">
      <alignment horizontal="center" vertical="center"/>
    </xf>
    <xf numFmtId="7" fontId="0" fillId="4" borderId="7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7" fontId="3" fillId="4" borderId="9" xfId="0" applyNumberFormat="1" applyFont="1" applyFill="1" applyBorder="1" applyAlignment="1">
      <alignment horizontal="center" vertical="center"/>
    </xf>
    <xf numFmtId="7" fontId="3" fillId="4" borderId="9" xfId="0" applyNumberFormat="1" applyFont="1" applyFill="1" applyBorder="1" applyAlignment="1">
      <alignment horizontal="center" vertical="center"/>
    </xf>
    <xf numFmtId="9" fontId="0" fillId="4" borderId="1" xfId="0" applyNumberFormat="1" applyFont="1" applyFill="1" applyBorder="1" applyAlignment="1">
      <alignment horizontal="center" vertical="center"/>
    </xf>
    <xf numFmtId="7" fontId="0" fillId="4" borderId="10" xfId="0" applyNumberFormat="1" applyFont="1" applyFill="1" applyBorder="1" applyAlignment="1">
      <alignment horizontal="center" vertical="center"/>
    </xf>
    <xf numFmtId="0" fontId="0" fillId="0" borderId="11" xfId="0" applyFont="1" applyBorder="1" applyAlignment="1"/>
    <xf numFmtId="0" fontId="3" fillId="3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/>
    <xf numFmtId="5" fontId="3" fillId="4" borderId="0" xfId="0" applyNumberFormat="1" applyFont="1" applyFill="1" applyBorder="1" applyAlignment="1">
      <alignment horizontal="right" vertical="center"/>
    </xf>
    <xf numFmtId="0" fontId="0" fillId="4" borderId="0" xfId="0" applyFont="1" applyFill="1" applyBorder="1" applyAlignment="1"/>
    <xf numFmtId="0" fontId="0" fillId="4" borderId="0" xfId="0" applyFont="1" applyFill="1" applyBorder="1" applyAlignment="1"/>
    <xf numFmtId="0" fontId="0" fillId="4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9.8692708333" refreshedBy="annaboiko" recordCount="14">
  <cacheSource type="worksheet">
    <worksheetSource ref="A3:A17" sheet="Anna Group 4"/>
  </cacheSource>
  <cacheFields count="1">
    <cacheField name="Category" numFmtId="0">
      <sharedItems count="6">
        <s v="Dolls"/>
        <s v="Action figures"/>
        <s v="Educational Toys"/>
        <s v="Creative toys"/>
        <s v="Electronic Toys"/>
        <s v="Gam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0"/>
  </r>
  <r>
    <x v="0"/>
  </r>
  <r>
    <x v="0"/>
  </r>
  <r>
    <x v="1"/>
  </r>
  <r>
    <x v="1"/>
  </r>
  <r>
    <x v="2"/>
  </r>
  <r>
    <x v="3"/>
  </r>
  <r>
    <x v="3"/>
  </r>
  <r>
    <x v="2"/>
  </r>
  <r>
    <x v="4"/>
  </r>
  <r>
    <x v="2"/>
  </r>
  <r>
    <x v="5"/>
  </r>
  <r>
    <x v="5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10" firstHeaderRow="1" firstDataRow="1" firstDataCol="1"/>
  <pivotFields count="1">
    <pivotField axis="axisRow" compact="0" showAll="0">
      <items count="7">
        <item x="1"/>
        <item x="3"/>
        <item x="0"/>
        <item x="2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2"/>
  <sheetViews>
    <sheetView tabSelected="1" topLeftCell="B1" workbookViewId="0">
      <selection activeCell="G22" sqref="G22"/>
    </sheetView>
  </sheetViews>
  <sheetFormatPr defaultColWidth="9" defaultRowHeight="15" customHeight="1" outlineLevelCol="7"/>
  <cols>
    <col min="1" max="1" width="21.4296875" customWidth="1"/>
    <col min="2" max="2" width="25.140625" customWidth="1"/>
    <col min="3" max="3" width="16.7109375" customWidth="1"/>
    <col min="4" max="4" width="17.140625" customWidth="1"/>
    <col min="5" max="5" width="14.140625" customWidth="1"/>
    <col min="6" max="6" width="14.5703125" customWidth="1"/>
    <col min="7" max="7" width="13.140625" customWidth="1"/>
    <col min="8" max="24" width="8.7109375" customWidth="1"/>
  </cols>
  <sheetData>
    <row r="1" ht="28" customHeight="1" spans="1:8">
      <c r="A1" s="2" t="s">
        <v>0</v>
      </c>
      <c r="B1" s="3"/>
      <c r="C1" s="3"/>
      <c r="D1" s="3"/>
      <c r="E1" s="3"/>
      <c r="F1" s="3"/>
      <c r="G1" s="3"/>
    </row>
    <row r="2" s="1" customFormat="1" ht="28" customHeight="1" spans="1:8">
      <c r="A2" s="4" t="s">
        <v>1</v>
      </c>
      <c r="B2" s="5">
        <v>0.5</v>
      </c>
    </row>
    <row r="3" ht="28" customHeight="1" spans="1:8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</row>
    <row r="4" ht="28" customHeight="1" spans="1:8">
      <c r="A4" s="9" t="s">
        <v>10</v>
      </c>
      <c r="B4" s="10" t="s">
        <v>11</v>
      </c>
      <c r="C4" s="11">
        <v>12.99</v>
      </c>
      <c r="D4" s="10">
        <v>2</v>
      </c>
      <c r="E4" s="12">
        <f>C4*D4</f>
        <v>25.98</v>
      </c>
      <c r="F4" s="13">
        <f>IF(D4&gt;7,10%,IF(D4&gt;4,5%,0))</f>
        <v>0</v>
      </c>
      <c r="G4" s="14">
        <f>E4*(1-F4)</f>
        <v>25.98</v>
      </c>
      <c r="H4" s="14">
        <f>IF(D4&gt;10,G4*(1-$B$2),G4)</f>
        <v>25.98</v>
      </c>
    </row>
    <row r="5" ht="28" customHeight="1" spans="1:8">
      <c r="A5" s="9" t="s">
        <v>10</v>
      </c>
      <c r="B5" s="10" t="s">
        <v>12</v>
      </c>
      <c r="C5" s="11">
        <v>8.99</v>
      </c>
      <c r="D5" s="10">
        <v>3</v>
      </c>
      <c r="E5" s="12">
        <f t="shared" ref="E5:E17" si="0">C5*D5</f>
        <v>26.97</v>
      </c>
      <c r="F5" s="13">
        <f t="shared" ref="F5:F17" si="1">IF(D5&gt;7,10%,IF(D5&gt;4,5%,0))</f>
        <v>0</v>
      </c>
      <c r="G5" s="14">
        <f t="shared" ref="G5:G17" si="2">E5*(1-F5)</f>
        <v>26.97</v>
      </c>
      <c r="H5" s="14">
        <f>IF(D5&gt;10,G5*(1-$B$2),G5)</f>
        <v>26.97</v>
      </c>
    </row>
    <row r="6" ht="28" customHeight="1" spans="1:8">
      <c r="A6" s="9" t="s">
        <v>10</v>
      </c>
      <c r="B6" s="10" t="s">
        <v>13</v>
      </c>
      <c r="C6" s="11">
        <v>9.99</v>
      </c>
      <c r="D6" s="10">
        <v>10</v>
      </c>
      <c r="E6" s="12">
        <f t="shared" si="0"/>
        <v>99.9</v>
      </c>
      <c r="F6" s="13">
        <f t="shared" si="1"/>
        <v>0.1</v>
      </c>
      <c r="G6" s="14">
        <f t="shared" si="2"/>
        <v>89.91</v>
      </c>
      <c r="H6" s="14">
        <f>IF(D6&gt;10,G6*(1-$B$2),G6)</f>
        <v>89.91</v>
      </c>
    </row>
    <row r="7" ht="28" customHeight="1" spans="1:8">
      <c r="A7" s="9" t="s">
        <v>14</v>
      </c>
      <c r="B7" s="10" t="s">
        <v>15</v>
      </c>
      <c r="C7" s="11">
        <v>19.99</v>
      </c>
      <c r="D7" s="10">
        <v>5</v>
      </c>
      <c r="E7" s="12">
        <f t="shared" si="0"/>
        <v>99.95</v>
      </c>
      <c r="F7" s="13">
        <f t="shared" si="1"/>
        <v>0.05</v>
      </c>
      <c r="G7" s="14">
        <f t="shared" si="2"/>
        <v>94.9525</v>
      </c>
      <c r="H7" s="14">
        <f>IF(D7&gt;10,G7*(1-$B$2),G7)</f>
        <v>94.9525</v>
      </c>
    </row>
    <row r="8" ht="28" customHeight="1" spans="1:8">
      <c r="A8" s="9" t="s">
        <v>14</v>
      </c>
      <c r="B8" s="10" t="s">
        <v>16</v>
      </c>
      <c r="C8" s="11">
        <v>14.99</v>
      </c>
      <c r="D8" s="10">
        <v>8</v>
      </c>
      <c r="E8" s="12">
        <f t="shared" si="0"/>
        <v>119.92</v>
      </c>
      <c r="F8" s="13">
        <f t="shared" si="1"/>
        <v>0.1</v>
      </c>
      <c r="G8" s="14">
        <f t="shared" si="2"/>
        <v>107.928</v>
      </c>
      <c r="H8" s="14">
        <f t="shared" ref="H5:H17" si="3">IF(D8&gt;10,G8*(1-$B$2),G8)</f>
        <v>107.928</v>
      </c>
    </row>
    <row r="9" ht="28" customHeight="1" spans="1:8">
      <c r="A9" s="9" t="s">
        <v>17</v>
      </c>
      <c r="B9" s="10" t="s">
        <v>18</v>
      </c>
      <c r="C9" s="11">
        <v>12.5</v>
      </c>
      <c r="D9" s="10">
        <v>2</v>
      </c>
      <c r="E9" s="12">
        <f t="shared" si="0"/>
        <v>25</v>
      </c>
      <c r="F9" s="13">
        <f t="shared" si="1"/>
        <v>0</v>
      </c>
      <c r="G9" s="14">
        <f t="shared" si="2"/>
        <v>25</v>
      </c>
      <c r="H9" s="14">
        <f t="shared" si="3"/>
        <v>25</v>
      </c>
    </row>
    <row r="10" ht="28" customHeight="1" spans="1:8">
      <c r="A10" s="9" t="s">
        <v>19</v>
      </c>
      <c r="B10" s="10" t="s">
        <v>20</v>
      </c>
      <c r="C10" s="11">
        <v>60.5</v>
      </c>
      <c r="D10" s="10">
        <v>5</v>
      </c>
      <c r="E10" s="12">
        <f t="shared" si="0"/>
        <v>302.5</v>
      </c>
      <c r="F10" s="13">
        <f t="shared" si="1"/>
        <v>0.05</v>
      </c>
      <c r="G10" s="14">
        <f t="shared" si="2"/>
        <v>287.375</v>
      </c>
      <c r="H10" s="14">
        <f t="shared" si="3"/>
        <v>287.375</v>
      </c>
    </row>
    <row r="11" ht="28" customHeight="1" spans="1:8">
      <c r="A11" s="9" t="s">
        <v>19</v>
      </c>
      <c r="B11" s="10" t="s">
        <v>21</v>
      </c>
      <c r="C11" s="11">
        <v>30.5</v>
      </c>
      <c r="D11" s="10">
        <v>1</v>
      </c>
      <c r="E11" s="12">
        <f t="shared" si="0"/>
        <v>30.5</v>
      </c>
      <c r="F11" s="13">
        <f t="shared" si="1"/>
        <v>0</v>
      </c>
      <c r="G11" s="14">
        <f t="shared" si="2"/>
        <v>30.5</v>
      </c>
      <c r="H11" s="14">
        <f t="shared" si="3"/>
        <v>30.5</v>
      </c>
    </row>
    <row r="12" ht="28" customHeight="1" spans="1:8">
      <c r="A12" s="9" t="s">
        <v>17</v>
      </c>
      <c r="B12" s="10" t="s">
        <v>22</v>
      </c>
      <c r="C12" s="11">
        <v>10.5</v>
      </c>
      <c r="D12" s="10">
        <v>6</v>
      </c>
      <c r="E12" s="12">
        <f t="shared" si="0"/>
        <v>63</v>
      </c>
      <c r="F12" s="13">
        <f t="shared" si="1"/>
        <v>0.05</v>
      </c>
      <c r="G12" s="14">
        <f t="shared" si="2"/>
        <v>59.85</v>
      </c>
      <c r="H12" s="14">
        <f t="shared" si="3"/>
        <v>59.85</v>
      </c>
    </row>
    <row r="13" ht="28" customHeight="1" spans="1:8">
      <c r="A13" s="9" t="s">
        <v>23</v>
      </c>
      <c r="B13" s="10" t="s">
        <v>24</v>
      </c>
      <c r="C13" s="11">
        <v>34.5</v>
      </c>
      <c r="D13" s="10">
        <v>8</v>
      </c>
      <c r="E13" s="12">
        <f t="shared" si="0"/>
        <v>276</v>
      </c>
      <c r="F13" s="13">
        <f t="shared" si="1"/>
        <v>0.1</v>
      </c>
      <c r="G13" s="14">
        <f t="shared" si="2"/>
        <v>248.4</v>
      </c>
      <c r="H13" s="14">
        <f t="shared" si="3"/>
        <v>248.4</v>
      </c>
    </row>
    <row r="14" ht="28" customHeight="1" spans="1:8">
      <c r="A14" s="9" t="s">
        <v>17</v>
      </c>
      <c r="B14" s="10" t="s">
        <v>25</v>
      </c>
      <c r="C14" s="11">
        <v>50</v>
      </c>
      <c r="D14" s="10">
        <v>19</v>
      </c>
      <c r="E14" s="12">
        <f t="shared" si="0"/>
        <v>950</v>
      </c>
      <c r="F14" s="13">
        <f t="shared" si="1"/>
        <v>0.1</v>
      </c>
      <c r="G14" s="14">
        <f t="shared" si="2"/>
        <v>855</v>
      </c>
      <c r="H14" s="14">
        <f t="shared" si="3"/>
        <v>427.5</v>
      </c>
    </row>
    <row r="15" ht="28" customHeight="1" spans="1:8">
      <c r="A15" s="9" t="s">
        <v>26</v>
      </c>
      <c r="B15" s="10" t="s">
        <v>27</v>
      </c>
      <c r="C15" s="11">
        <v>350</v>
      </c>
      <c r="D15" s="10">
        <v>5</v>
      </c>
      <c r="E15" s="12">
        <f t="shared" si="0"/>
        <v>1750</v>
      </c>
      <c r="F15" s="13">
        <f t="shared" si="1"/>
        <v>0.05</v>
      </c>
      <c r="G15" s="14">
        <f t="shared" si="2"/>
        <v>1662.5</v>
      </c>
      <c r="H15" s="14">
        <f t="shared" si="3"/>
        <v>1662.5</v>
      </c>
    </row>
    <row r="16" ht="28" customHeight="1" spans="1:8">
      <c r="A16" s="9" t="s">
        <v>26</v>
      </c>
      <c r="B16" s="10" t="s">
        <v>28</v>
      </c>
      <c r="C16" s="11">
        <v>400</v>
      </c>
      <c r="D16" s="10">
        <v>6</v>
      </c>
      <c r="E16" s="12">
        <f t="shared" si="0"/>
        <v>2400</v>
      </c>
      <c r="F16" s="13">
        <f t="shared" si="1"/>
        <v>0.05</v>
      </c>
      <c r="G16" s="14">
        <f t="shared" si="2"/>
        <v>2280</v>
      </c>
      <c r="H16" s="14">
        <f t="shared" si="3"/>
        <v>2280</v>
      </c>
    </row>
    <row r="17" ht="28" customHeight="1" spans="1:8">
      <c r="A17" s="15" t="s">
        <v>19</v>
      </c>
      <c r="B17" s="16" t="s">
        <v>29</v>
      </c>
      <c r="C17" s="17">
        <v>19.99</v>
      </c>
      <c r="D17" s="16">
        <v>11</v>
      </c>
      <c r="E17" s="18">
        <f t="shared" si="0"/>
        <v>219.89</v>
      </c>
      <c r="F17" s="19">
        <f t="shared" si="1"/>
        <v>0.1</v>
      </c>
      <c r="G17" s="20">
        <f t="shared" si="2"/>
        <v>197.901</v>
      </c>
      <c r="H17" s="20">
        <f t="shared" si="3"/>
        <v>98.9505</v>
      </c>
    </row>
    <row r="18" ht="14.25" customHeight="1" spans="1:8">
      <c r="F18" s="21"/>
    </row>
    <row r="19" ht="14.25" customHeight="1" spans="1:8">
      <c r="A19" s="22" t="s">
        <v>2</v>
      </c>
      <c r="B19" s="22" t="s">
        <v>30</v>
      </c>
      <c r="C19" s="22" t="s">
        <v>31</v>
      </c>
    </row>
    <row r="20" ht="14.25" customHeight="1" spans="1:8">
      <c r="A20" s="23" t="s">
        <v>14</v>
      </c>
      <c r="B20" s="24">
        <f>SUMIF($A$4:$A$17,A20,$G$4:$G$17)</f>
        <v>202.8805</v>
      </c>
      <c r="C20" s="25">
        <f>SUMIF($A$4:$A$17,A20,D4:D17)</f>
        <v>13</v>
      </c>
    </row>
    <row r="21" ht="14.25" customHeight="1" spans="1:8">
      <c r="A21" s="26" t="s">
        <v>19</v>
      </c>
      <c r="B21" s="24">
        <f>SUMIF($A$4:$A$17,A21,$G$4:$G$17)</f>
        <v>515.776</v>
      </c>
      <c r="C21" s="25">
        <f>SUMIF($A$4:$A$17,A21,D5:D18)</f>
        <v>7</v>
      </c>
    </row>
    <row r="22" ht="14.25" customHeight="1" spans="1:8">
      <c r="A22" s="26" t="s">
        <v>10</v>
      </c>
      <c r="B22" s="24">
        <f>SUMIF($A$4:$A$17,A22,$G$4:$G$17)</f>
        <v>142.86</v>
      </c>
      <c r="C22" s="25">
        <f ca="1">SUMIF($A$4:$A$17,A22,D6:D18)</f>
        <v>23</v>
      </c>
    </row>
    <row r="23" ht="14.25" customHeight="1" spans="1:8">
      <c r="A23" s="26" t="s">
        <v>17</v>
      </c>
      <c r="B23" s="24">
        <f>SUMIF($A$4:$A$17,A23,$G$4:$G$17)</f>
        <v>939.85</v>
      </c>
      <c r="C23" s="25">
        <f ca="1">SUMIF($A$4:$A$17,A23,D7:D18)</f>
        <v>22</v>
      </c>
    </row>
    <row r="24" ht="14.25" customHeight="1" spans="1:8">
      <c r="A24" s="26" t="s">
        <v>23</v>
      </c>
      <c r="B24" s="24">
        <f>SUMIF($A$4:$A$17,A24,$G$4:$G$17)</f>
        <v>248.4</v>
      </c>
      <c r="C24" s="25">
        <f ca="1">SUMIF($A$4:$A$17,A24,D8:D18)</f>
        <v>11</v>
      </c>
    </row>
    <row r="25" ht="14.25" customHeight="1" spans="1:8">
      <c r="A25" s="27" t="s">
        <v>26</v>
      </c>
      <c r="B25" s="24">
        <f>SUMIF($A$4:$A$17,A25,$G$4:$G$17)</f>
        <v>3942.5</v>
      </c>
      <c r="C25" s="25">
        <f ca="1">SUMIF($A$4:$A$17,A25,D9:D18)</f>
        <v>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A1:G1"/>
  </mergeCells>
  <conditionalFormatting sqref="B20:B25">
    <cfRule type="cellIs" dxfId="0" priority="3" operator="greaterThan">
      <formula>80</formula>
    </cfRule>
  </conditionalFormatting>
  <conditionalFormatting sqref="C20:C25">
    <cfRule type="cellIs" dxfId="1" priority="1" operator="greaterThan">
      <formula>10</formula>
    </cfRule>
  </conditionalFormatting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0"/>
  <sheetViews>
    <sheetView workbookViewId="0">
      <selection activeCell="C42" sqref="C42"/>
    </sheetView>
  </sheetViews>
  <sheetFormatPr defaultColWidth="9" defaultRowHeight="16.8"/>
  <cols>
    <col min="1" max="1" width="15.5625"/>
  </cols>
  <sheetData>
    <row r="3" spans="1:1">
      <c r="A3" t="s">
        <v>2</v>
      </c>
    </row>
    <row r="4" spans="1:1">
      <c r="A4" t="s">
        <v>14</v>
      </c>
    </row>
    <row r="5" spans="1:1">
      <c r="A5" t="s">
        <v>19</v>
      </c>
    </row>
    <row r="6" spans="1:1">
      <c r="A6" t="s">
        <v>10</v>
      </c>
    </row>
    <row r="7" spans="1:1">
      <c r="A7" t="s">
        <v>17</v>
      </c>
    </row>
    <row r="8" spans="1:1">
      <c r="A8" t="s">
        <v>23</v>
      </c>
    </row>
    <row r="9" spans="1:1">
      <c r="A9" t="s">
        <v>26</v>
      </c>
    </row>
    <row r="10" spans="1:1">
      <c r="A10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Anna Group 4</vt:lpstr>
      <vt:lpstr>PivotTableCategories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Geetu</dc:creator>
  <cp:lastModifiedBy>Anna Boiko</cp:lastModifiedBy>
  <dcterms:created xsi:type="dcterms:W3CDTF">2021-06-08T09:42:00Z</dcterms:created>
  <dcterms:modified xsi:type="dcterms:W3CDTF">2026-07-26T21:39:06Z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D2A4D35231041F642AA6666A3C2A9BA3_42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