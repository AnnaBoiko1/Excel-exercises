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20" windowHeight="1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<sst xmlns="http://schemas.openxmlformats.org/spreadsheetml/2006/main" count="39" uniqueCount="29">
  <si>
    <t>Employee</t>
  </si>
  <si>
    <t>Department</t>
  </si>
  <si>
    <t>Sales</t>
  </si>
  <si>
    <t>Target</t>
  </si>
  <si>
    <t>Bonus Eligible</t>
  </si>
  <si>
    <t>Score</t>
  </si>
  <si>
    <t>Alice</t>
  </si>
  <si>
    <t>Yes</t>
  </si>
  <si>
    <t>Bob</t>
  </si>
  <si>
    <t>Marketing</t>
  </si>
  <si>
    <t>No</t>
  </si>
  <si>
    <t>Carol</t>
  </si>
  <si>
    <t>David</t>
  </si>
  <si>
    <t>IT</t>
  </si>
  <si>
    <t>Eva</t>
  </si>
  <si>
    <t>Frank</t>
  </si>
  <si>
    <t>Grace</t>
  </si>
  <si>
    <t>Answer:</t>
  </si>
  <si>
    <t>1. How many employees are in the Sales department?</t>
  </si>
  <si>
    <t>2. What is the total sales generated by employees in the Marketing department?</t>
  </si>
  <si>
    <t>3. How many employees met both the Target and are from the Sales department?</t>
  </si>
  <si>
    <t>4. Which formula would you use to return "High", "Medium", or "Low" based on these rules:
 Score ≥ 90 → "High"
Score 80–89 → "Medium"
Below 80 → "Low"</t>
  </si>
  <si>
    <t>5. You want to round up all the scores to the nearest 10. What formula should be used?</t>
  </si>
  <si>
    <t>0 is the nearest integer.
1 - up to 1 digit after the comma.
2 - up to 2 commas after the comma.
-1 - to the nearest dozens.
-2 - to the next hundred.
-3 - to the nearest thousands.</t>
  </si>
  <si>
    <t>6. Which formula would give you the total sales of employees who are Bonus Eligible?</t>
  </si>
  <si>
    <t>7. What formula would you use to return "Achieved" if Sales ≥ Target, otherwise "Not Achieved"?</t>
  </si>
  <si>
    <t>8. What formula calculates the total of all sales, regardless of condition?</t>
  </si>
  <si>
    <t>9. You want to count how many IT department employees are Bonus Eligible.</t>
  </si>
  <si>
    <t>10. Which formula returns the rounded-up difference between Sales and Target for each employee?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</si>
</sst>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rgb="FF000000"/>
      <name val="Aptos Narrow"/>
      <charset val="134"/>
    </font>
    <font>
      <sz val="11"/>
      <color rgb="FF000000"/>
      <name val="Aptos Narrow"/>
      <charset val="134"/>
    </font>
    <font>
      <sz val="11"/>
      <color rgb="FF7030A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zoomScale="113" zoomScaleNormal="113" workbookViewId="0">
      <selection activeCell="G25" sqref="G25"/>
    </sheetView>
  </sheetViews>
  <sheetFormatPr defaultColWidth="9" defaultRowHeight="16.8" outlineLevelCol="6"/>
  <cols>
    <col min="1" max="6" width="15.5546875" customWidth="1"/>
  </cols>
  <sheetData>
    <row r="1" s="1" customFormat="1" ht="18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7" spans="1:7">
      <c r="A2" s="3" t="s">
        <v>6</v>
      </c>
      <c r="B2" s="3" t="s">
        <v>2</v>
      </c>
      <c r="C2" s="3">
        <v>12000</v>
      </c>
      <c r="D2" s="3">
        <v>10000</v>
      </c>
      <c r="E2" s="3" t="s">
        <v>7</v>
      </c>
      <c r="F2" s="3">
        <v>89</v>
      </c>
      <c r="G2" cm="1">
        <f t="array" ref="G2:G8">ROUND(F2:F8,-1)</f>
        <v>90</v>
      </c>
    </row>
    <row r="3" ht="17" spans="1:7">
      <c r="A3" s="3" t="s">
        <v>8</v>
      </c>
      <c r="B3" s="3" t="s">
        <v>9</v>
      </c>
      <c r="C3" s="3">
        <v>8500</v>
      </c>
      <c r="D3" s="3">
        <v>9000</v>
      </c>
      <c r="E3" s="3" t="s">
        <v>10</v>
      </c>
      <c r="F3" s="3">
        <v>76</v>
      </c>
      <c r="G3">
        <v>80</v>
      </c>
    </row>
    <row r="4" ht="17" spans="1:7">
      <c r="A4" s="3" t="s">
        <v>11</v>
      </c>
      <c r="B4" s="3" t="s">
        <v>2</v>
      </c>
      <c r="C4" s="3">
        <v>15000</v>
      </c>
      <c r="D4" s="3">
        <v>12000</v>
      </c>
      <c r="E4" s="3" t="s">
        <v>7</v>
      </c>
      <c r="F4" s="3">
        <v>93</v>
      </c>
      <c r="G4">
        <v>90</v>
      </c>
    </row>
    <row r="5" ht="17" spans="1:7">
      <c r="A5" s="3" t="s">
        <v>12</v>
      </c>
      <c r="B5" s="3" t="s">
        <v>13</v>
      </c>
      <c r="C5" s="3">
        <v>5000</v>
      </c>
      <c r="D5" s="3">
        <v>7000</v>
      </c>
      <c r="E5" s="3" t="s">
        <v>10</v>
      </c>
      <c r="F5" s="3">
        <v>67</v>
      </c>
      <c r="G5">
        <v>70</v>
      </c>
    </row>
    <row r="6" ht="17" spans="1:7">
      <c r="A6" s="3" t="s">
        <v>14</v>
      </c>
      <c r="B6" s="3" t="s">
        <v>9</v>
      </c>
      <c r="C6" s="3">
        <v>9200</v>
      </c>
      <c r="D6" s="3">
        <v>8500</v>
      </c>
      <c r="E6" s="3" t="s">
        <v>7</v>
      </c>
      <c r="F6" s="3">
        <v>81</v>
      </c>
      <c r="G6">
        <v>80</v>
      </c>
    </row>
    <row r="7" ht="17" spans="1:7">
      <c r="A7" s="3" t="s">
        <v>15</v>
      </c>
      <c r="B7" s="3" t="s">
        <v>2</v>
      </c>
      <c r="C7" s="3">
        <v>9500</v>
      </c>
      <c r="D7" s="3">
        <v>10000</v>
      </c>
      <c r="E7" s="3" t="s">
        <v>10</v>
      </c>
      <c r="F7" s="3">
        <v>72</v>
      </c>
      <c r="G7">
        <v>70</v>
      </c>
    </row>
    <row r="8" ht="17" spans="1:7">
      <c r="A8" s="3" t="s">
        <v>16</v>
      </c>
      <c r="B8" s="3" t="s">
        <v>13</v>
      </c>
      <c r="C8" s="3">
        <v>7200</v>
      </c>
      <c r="D8" s="3">
        <v>7000</v>
      </c>
      <c r="E8" s="3" t="s">
        <v>7</v>
      </c>
      <c r="F8" s="3">
        <v>90</v>
      </c>
      <c r="G8">
        <v>90</v>
      </c>
    </row>
    <row r="9" spans="1:7">
      <c r="F9" s="4" t="s">
        <v>17</v>
      </c>
    </row>
    <row r="10" spans="1:7">
      <c r="A10" t="s">
        <v>18</v>
      </c>
      <c r="F10" s="5">
        <f>COUNTIFS(B2:B8,"Sales")</f>
        <v>3</v>
      </c>
    </row>
    <row r="11" spans="1:7">
      <c r="A11" t="s">
        <v>19</v>
      </c>
      <c r="F11" s="5">
        <f>SUMIF(B2:B8,"Marketing",C2:C8)</f>
        <v>17700</v>
      </c>
    </row>
    <row r="12" spans="1:7">
      <c r="A12" t="s">
        <v>20</v>
      </c>
      <c r="F12">
        <f>COUNTIFS(C2:C8,"&gt;1000",B2:B8,"Sales")</f>
        <v>3</v>
      </c>
    </row>
    <row r="13" spans="1:7">
      <c r="A13" t="s">
        <v>21</v>
      </c>
      <c r="F13" s="5" t="str">
        <f>IF(F2&gt;=90,"High",IF(F2&gt;=80,"Medium","Low"))</f>
        <v>Medium</v>
      </c>
    </row>
    <row r="14" spans="1:7">
      <c r="A14" t="s">
        <v>22</v>
      </c>
      <c r="F14">
        <f>ROUND(F2,-1)</f>
        <v>90</v>
      </c>
      <c r="G14" t="s">
        <v>23</v>
      </c>
    </row>
    <row r="15" spans="1:7">
      <c r="A15" t="s">
        <v>24</v>
      </c>
      <c r="F15">
        <f>SUMIF(E2:E8,"Yes",C2:C8)</f>
        <v>43400</v>
      </c>
    </row>
    <row r="16" spans="1:7">
      <c r="A16" t="s">
        <v>25</v>
      </c>
      <c r="F16" s="5" t="str">
        <f>IF(C2&gt;=D2,"Achieved","Not Achieved")</f>
        <v>Achieved</v>
      </c>
    </row>
    <row r="17" spans="1:6">
      <c r="A17" t="s">
        <v>26</v>
      </c>
      <c r="F17">
        <f>SUM(C2:C8)</f>
        <v>66400</v>
      </c>
    </row>
    <row r="18" spans="1:6">
      <c r="A18" t="s">
        <v>27</v>
      </c>
      <c r="F18">
        <f>COUNTIFS(B2:B8,"IT",E2:E8,"Yes")</f>
        <v>1</v>
      </c>
    </row>
    <row r="19" spans="1:6">
      <c r="A19" t="s">
        <v>28</v>
      </c>
      <c r="F19">
        <f>ROUNDUP(C2-D2,0)</f>
        <v>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annaboiko</dc:creator>
  <cp:lastModifiedBy>Anna Boiko</cp:lastModifiedBy>
  <dcterms:created xsi:type="dcterms:W3CDTF">2026-07-30T21:55:54Z</dcterms:created>
  <dcterms:modified xsi:type="dcterms:W3CDTF">2026-08-02T20:33:25Z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53C1FC029261B90BAA006C6AC01B367B_41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