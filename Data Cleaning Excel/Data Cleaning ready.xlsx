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chool_info" sheetId="1" r:id="rId1"/>
  </sheets>
  <definedNames>
    <definedName name="_xlnm._FilterDatabase" localSheetId="0" hidden="1">school_info!$A$1:$K$359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<sst xmlns="http://schemas.openxmlformats.org/spreadsheetml/2006/main" count="1771" uniqueCount="1039">
  <si>
    <t>school_name</t>
  </si>
  <si>
    <t>Remove extra spaces before and after text</t>
  </si>
  <si>
    <t>Proper case</t>
  </si>
  <si>
    <t>area</t>
  </si>
  <si>
    <t>address</t>
  </si>
  <si>
    <t>level</t>
  </si>
  <si>
    <t>bus</t>
  </si>
  <si>
    <t>Admissions Last Date</t>
  </si>
  <si>
    <t>Standardize Date</t>
  </si>
  <si>
    <t>Duplicates names</t>
  </si>
  <si>
    <t>Duplicates names and addresses</t>
  </si>
  <si>
    <t xml:space="preserve">               West Spring Primary School</t>
  </si>
  <si>
    <t>West</t>
  </si>
  <si>
    <t>60 Bukit Panjang Ring Road, Bukit Panjang, S(679946)</t>
  </si>
  <si>
    <t>Primary</t>
  </si>
  <si>
    <t>31;36;43;47;48;55;76;135;155;196;196E;197;401;541;763;853;853C;4N</t>
  </si>
  <si>
    <t xml:space="preserve">             Changkat Primary School</t>
  </si>
  <si>
    <t>East</t>
  </si>
  <si>
    <t>11 Simei St 3, Tampines, S(529896)</t>
  </si>
  <si>
    <t xml:space="preserve">           SEMBAWANG PRIMARY SCHOOL</t>
  </si>
  <si>
    <t>North</t>
  </si>
  <si>
    <t>10 Sembawang Drive, Sembawang, S(757715)</t>
  </si>
  <si>
    <t>96;97;151;183;188;196;197;198</t>
  </si>
  <si>
    <t xml:space="preserve">         JURONG WEST PRIMARY SCHOOL</t>
  </si>
  <si>
    <t>30 Jurong West St 61, Jurong West, S(648368)</t>
  </si>
  <si>
    <t>27;82;83;86;88;89;89E;136;161;371;965</t>
  </si>
  <si>
    <t xml:space="preserve">        Jiemin Primary School</t>
  </si>
  <si>
    <t>2 Yishun Street 71, Yishun, S(768515)</t>
  </si>
  <si>
    <t>21;54;56;57;124;131;166;518;851</t>
  </si>
  <si>
    <t xml:space="preserve">      Beatty Secondary SCHOOL</t>
  </si>
  <si>
    <t>South</t>
  </si>
  <si>
    <t>1 Toa Payoh North, Toa Payoh, S(318990)</t>
  </si>
  <si>
    <t>Secondary</t>
  </si>
  <si>
    <t>3;34;62;82;83;136</t>
  </si>
  <si>
    <t xml:space="preserve">    balestier hill primary school</t>
  </si>
  <si>
    <t>565 Balestier Road, Novena, S(329927)</t>
  </si>
  <si>
    <t>43;70;73;103;109;156;854;25;74;74E;76;112;132;147;165;55</t>
  </si>
  <si>
    <t xml:space="preserve">    bukit view primary school</t>
  </si>
  <si>
    <t>18 Bukit Batok Street 21, Bukit Batok, S(659634)</t>
  </si>
  <si>
    <t>58;105;133;135</t>
  </si>
  <si>
    <t xml:space="preserve">    cedar primary school</t>
  </si>
  <si>
    <t>15 Cedar Avenue, Toa Payoh, S(349700)</t>
  </si>
  <si>
    <t>33;51;64;111;120;139;145;186;970</t>
  </si>
  <si>
    <t xml:space="preserve">    damai primary school</t>
  </si>
  <si>
    <t>52 Bedok Reservoir Crescent, Bedok, S(479226)</t>
  </si>
  <si>
    <t>163;372</t>
  </si>
  <si>
    <t xml:space="preserve">    hougang primary school</t>
  </si>
  <si>
    <t>1 Hougang St 93, Hougang, S(534238)</t>
  </si>
  <si>
    <t>66;67;74;93;151;153;154;156;157;165;170;171;174;186;852;855;961</t>
  </si>
  <si>
    <t xml:space="preserve">    opera estate primary school</t>
  </si>
  <si>
    <t>48 Fidelio Street, Bedok, S(458436)</t>
  </si>
  <si>
    <t>32;100;105;111;145;147;195;196;198;855</t>
  </si>
  <si>
    <t xml:space="preserve">    palm view primary school</t>
  </si>
  <si>
    <t>150 Compassvale Bow, Seng Kang, S(544822)</t>
  </si>
  <si>
    <t>48;66;67;170;171;603;700</t>
  </si>
  <si>
    <t xml:space="preserve">    pioneer junior college</t>
  </si>
  <si>
    <t>21 Teck Whye Walk, Choa Chu Kang, S(688258)</t>
  </si>
  <si>
    <t>Junior College</t>
  </si>
  <si>
    <t>53;62;112;113;115</t>
  </si>
  <si>
    <t xml:space="preserve">    river valley primary school</t>
  </si>
  <si>
    <t>2 River Valley Green, Central, S(237993)</t>
  </si>
  <si>
    <t>45;70;76;86;128;529;668;733;825;851;852;853</t>
  </si>
  <si>
    <t xml:space="preserve">    tampines junior college</t>
  </si>
  <si>
    <t>2 Tampines Avenue 9, Tampines, S(529564)</t>
  </si>
  <si>
    <t xml:space="preserve">    yuhua secondary school</t>
  </si>
  <si>
    <t>35 Jurong West Street 41, Jurong West, S(649406)</t>
  </si>
  <si>
    <t>74;88;101;147;161</t>
  </si>
  <si>
    <t xml:space="preserve">    zhonghua primary school</t>
  </si>
  <si>
    <t>12 Serangoon Avenue 4, Serangoon, S(556095)</t>
  </si>
  <si>
    <t>61;66;77;106;157;174;178;963</t>
  </si>
  <si>
    <t>Admiralty Primary School</t>
  </si>
  <si>
    <t>11 Woodlands Circle, Woodlands, S(738907)</t>
  </si>
  <si>
    <t>920;922</t>
  </si>
  <si>
    <t>Admiralty Secondary School</t>
  </si>
  <si>
    <t>31 Woodlands Crescent, Woodlands, S(737916)</t>
  </si>
  <si>
    <t>Secondry</t>
  </si>
  <si>
    <t>09-09-2023</t>
  </si>
  <si>
    <t>Ahmad Ibrahim Primary School</t>
  </si>
  <si>
    <t>10 Yishun Street 11, Yishun, S(768643)</t>
  </si>
  <si>
    <t>7;70;70M;197</t>
  </si>
  <si>
    <t>Ahmad Ibrahim Secondary School</t>
  </si>
  <si>
    <t>751 Yishun Avenue 7, Yishun, S(768928)</t>
  </si>
  <si>
    <t>3;62;83;85;136;386</t>
  </si>
  <si>
    <t>Ai Tong School</t>
  </si>
  <si>
    <t>100 Bright Hill Drive, Bishan, S(579646)</t>
  </si>
  <si>
    <t>945;187</t>
  </si>
  <si>
    <t>Alexandra Primary School</t>
  </si>
  <si>
    <t>2A Prince Charles Crescent, Bukit Merah, S(159016)</t>
  </si>
  <si>
    <t>3;4;8;9;12;17;18;19;21;28;29;34;37;38;39;59;81;291;293;518;552</t>
  </si>
  <si>
    <t>Anchor Green Primary School</t>
  </si>
  <si>
    <t>31 Anchorvale Drive, Seng Kang, S(544969)</t>
  </si>
  <si>
    <t>27;80;85;86;87;89;89E;163;163M;372</t>
  </si>
  <si>
    <t>Anderson Junior College</t>
  </si>
  <si>
    <t>4500 Ang Mo Kio Avenue 6, Ang Mo Kio, S(569843)</t>
  </si>
  <si>
    <t>804;806;860</t>
  </si>
  <si>
    <t>Anderson Primary School</t>
  </si>
  <si>
    <t>19 Ang Mo Kio Ave 9, Ang Mo Kio, S(569785)</t>
  </si>
  <si>
    <t>900A;7;4;901</t>
  </si>
  <si>
    <t>ANDERSON SECONDARY SCHOOL</t>
  </si>
  <si>
    <t>10 Ang Mo Kio Street 53, Ang Mo Kio, S(569206)</t>
  </si>
  <si>
    <t>228;66;65;22;21;5;506</t>
  </si>
  <si>
    <t>Ang Mo Kio Primary School</t>
  </si>
  <si>
    <t>20 Ang Mo Kio Avenue 3, Ang Mo Kio, S(569920)</t>
  </si>
  <si>
    <t>14;32;33;63;64;120;123;132;139;145;147;153;196;197;198;765;855;961</t>
  </si>
  <si>
    <t>Ang Mo Kio Secondary School</t>
  </si>
  <si>
    <t>6 Ang Mo Kio Street 22, Ang Mo Kio, S(569362)</t>
  </si>
  <si>
    <t>14;105;106;147;156;165;166;173;175;184;196;282;284;285;7;96;99</t>
  </si>
  <si>
    <t>Anglican High School</t>
  </si>
  <si>
    <t>600 Upper Changi Road, Bedok, S(487012)</t>
  </si>
  <si>
    <t>Anglo-Chinese Junior College</t>
  </si>
  <si>
    <t>25 Dover Close East, Queenstown, S(139745)</t>
  </si>
  <si>
    <t>21;129;130;131;139;100</t>
  </si>
  <si>
    <t>Anglo-Chinese School (Barker Road)</t>
  </si>
  <si>
    <t>60 Barker Road, Novena, S(309919)</t>
  </si>
  <si>
    <t>904;912;913;962;964;965;969</t>
  </si>
  <si>
    <t>Anglo-Chinese School (Independent)</t>
  </si>
  <si>
    <t>121 Dover Road, Queenstown, S(139650)</t>
  </si>
  <si>
    <t>Mixed Level</t>
  </si>
  <si>
    <t>66;105;132;151;153;154;156;170;67;171;186;190;700;960;605</t>
  </si>
  <si>
    <t>Anglo-Chinese School (Junior)</t>
  </si>
  <si>
    <t>16 Winstedt Road, Central, S(227988)</t>
  </si>
  <si>
    <t>5;54;124;128;143;162;162M;167;171;700;700A</t>
  </si>
  <si>
    <t>2021-09-08</t>
  </si>
  <si>
    <t>Anglo-Chinese School (Primary)</t>
  </si>
  <si>
    <t>50 Barker Road, Novena, S(309918)</t>
  </si>
  <si>
    <t>12;14;30;158;196</t>
  </si>
  <si>
    <t>Angsana Primary School</t>
  </si>
  <si>
    <t>3 Tampines Street 22, Tampines, S(529366)</t>
  </si>
  <si>
    <t>62,74,88,113,147,325</t>
  </si>
  <si>
    <t>Assumption English School</t>
  </si>
  <si>
    <t>622 Upper Bukit Timah Road, Bukit Panjang, S(678117)</t>
  </si>
  <si>
    <t>Assumption Pathway School</t>
  </si>
  <si>
    <t>30 Cashew Road, Bukit Panjang, S(679697)</t>
  </si>
  <si>
    <t>27;80;82;83;86;87;88;89;119;156;163;371;372;965</t>
  </si>
  <si>
    <t>Bartley Secondary School</t>
  </si>
  <si>
    <t>10 Jalan Bunga Rampai, Toa Payoh, S(538403)</t>
  </si>
  <si>
    <t>67;75;170;171;176;177;178;960;961;961C;963;963E;963R;970;979;979M</t>
  </si>
  <si>
    <t>Beacon Primary School</t>
  </si>
  <si>
    <t>36 Bukit Panjang Ring Road, Bukit Panjang, S(679944)</t>
  </si>
  <si>
    <t>812;171</t>
  </si>
  <si>
    <t>Bedok Green Primary School</t>
  </si>
  <si>
    <t>1 Bedok South Ave 2, Bedok, S(469317)</t>
  </si>
  <si>
    <t>190;184;187;700;700A;921</t>
  </si>
  <si>
    <t>Bedok Green Secondary School</t>
  </si>
  <si>
    <t>360 Bedok North Ave 3, Bedok, S(469722)</t>
  </si>
  <si>
    <t>265;268</t>
  </si>
  <si>
    <t>Bedok South Secondary School</t>
  </si>
  <si>
    <t>1 Jalan Langgar Bedok, Bedok, S(468585)</t>
  </si>
  <si>
    <t>229;10;14;13;48;43;506</t>
  </si>
  <si>
    <t>Bedok View Secondary School</t>
  </si>
  <si>
    <t>6 Bedok South Avenue 3, Bedok, S(469293)</t>
  </si>
  <si>
    <t>14;74;105;106;147;166</t>
  </si>
  <si>
    <t>Bendemeer Primary School</t>
  </si>
  <si>
    <t>91 Bendemeer Road, Kallang, S(339948)</t>
  </si>
  <si>
    <t>99;241</t>
  </si>
  <si>
    <t>BENDEMEER SECONDARY SCHOOL</t>
  </si>
  <si>
    <t>1 St Wilfred Road, Kallang, S(327919)</t>
  </si>
  <si>
    <t>14;17;18;28;66;67;69;222;227;228</t>
  </si>
  <si>
    <t>Blangah Rise Primary School</t>
  </si>
  <si>
    <t>91 Telok Blangah Heights, Bukit Merah, S(109100)</t>
  </si>
  <si>
    <t>8;15;23;69;118;129;291;293;513;518</t>
  </si>
  <si>
    <t>Boon Lay Garden Primary School</t>
  </si>
  <si>
    <t>20 Boon Lay Drive, Jurong West, S(649930)</t>
  </si>
  <si>
    <t>30;99;154;178;180;187;240;246</t>
  </si>
  <si>
    <t>Boon Lay Secondary School</t>
  </si>
  <si>
    <t>11 Jurong West Street 65, Jurong West, S(648354)</t>
  </si>
  <si>
    <t>167;856;859;962;980</t>
  </si>
  <si>
    <t>Bowen Secondary School</t>
  </si>
  <si>
    <t>2 Lorong Napiri, Hougang, S(547529)</t>
  </si>
  <si>
    <t>265;74;165;55;76;73;268;88;132</t>
  </si>
  <si>
    <t>Broadrick Secondary School</t>
  </si>
  <si>
    <t>61 Dakota Crescent, Geylang, S(399935)</t>
  </si>
  <si>
    <t>167;169;171;800;811;812;856;858;859;969;980</t>
  </si>
  <si>
    <t>Bukit Batok Secondary School</t>
  </si>
  <si>
    <t>50 Bukit Batok West Ave 8, Bukit Batok, S(658962)</t>
  </si>
  <si>
    <t>5;9;20;38</t>
  </si>
  <si>
    <t>Bukit Merah Secondary School</t>
  </si>
  <si>
    <t>10 Lengkok Bahru, Bukit Merah, S(159050)</t>
  </si>
  <si>
    <t>157;153;105;159;88;FS238</t>
  </si>
  <si>
    <t>Bukit Panjang Govt. High School</t>
  </si>
  <si>
    <t>7 Choa Chu Kang Ave 4, Choa Chu Kang, S(689809)</t>
  </si>
  <si>
    <t>806;804</t>
  </si>
  <si>
    <t>Bukit Panjang Primary School</t>
  </si>
  <si>
    <t>109 Cashew Road, Bukit Panjang, S(679676)</t>
  </si>
  <si>
    <t>83;27;89;89E;965</t>
  </si>
  <si>
    <t>Bukit Timah Primary School</t>
  </si>
  <si>
    <t>111 Lorong Kismis, Bukit Timah, S(598112)</t>
  </si>
  <si>
    <t>33;14;74;166;196</t>
  </si>
  <si>
    <t>Bukit View Secondary School</t>
  </si>
  <si>
    <t>16 Bukit Batok Street 21, Bukit Batok, S(659633)</t>
  </si>
  <si>
    <t>51;72;80;101;119;132;136;153</t>
  </si>
  <si>
    <t>Canberra Primary School</t>
  </si>
  <si>
    <t>21 Admiralty Drive, Sembawang, S(757714)</t>
  </si>
  <si>
    <t>859;962</t>
  </si>
  <si>
    <t>Canberra Secondary School</t>
  </si>
  <si>
    <t>51 Sembawang Drive, Sembawang, S(757699)</t>
  </si>
  <si>
    <t>25;55;70;72;73;74;88;101;103;112;132;147;156;159;161;165;315;854</t>
  </si>
  <si>
    <t>Canossa Convent Primary School</t>
  </si>
  <si>
    <t>1 Sallim Road, Geylang, S(387621)</t>
  </si>
  <si>
    <t>Cantonment Primary School</t>
  </si>
  <si>
    <t>1 Cantonment Close, Bukit Merah, S(88256)</t>
  </si>
  <si>
    <t>Casuarina Primary School</t>
  </si>
  <si>
    <t>30 Pasir Ris St 41, Pasir Ris, S(518935)</t>
  </si>
  <si>
    <t>48;66;67;105;132;151;153;154;156;170;171;186;190;700;700A;960;971E;972</t>
  </si>
  <si>
    <t>Catholic High School</t>
  </si>
  <si>
    <t>9 Bishan Street 22, Bishan, S(579767)</t>
  </si>
  <si>
    <t>13,23,31,61,64,65,65M,66,125;125X;133;140;147;853;857;985</t>
  </si>
  <si>
    <t>Catholic Junior College</t>
  </si>
  <si>
    <t>129 Whitley Road, Novena, S(297822)</t>
  </si>
  <si>
    <t>180;67;171;176;177;178;184;961;963;970</t>
  </si>
  <si>
    <t>Cedar Girls' Secondary School</t>
  </si>
  <si>
    <t>1 Cedar Avenue, Toa Payoh, S(349692)</t>
  </si>
  <si>
    <t>28;29;293</t>
  </si>
  <si>
    <t>Changkat Changi Secondary School</t>
  </si>
  <si>
    <t>23 Simei St 3, Tampines, S(529894)</t>
  </si>
  <si>
    <t>Chij (Katong) Primary</t>
  </si>
  <si>
    <t>17 Martia Road, Bedok, S(424821)</t>
  </si>
  <si>
    <t>Chij (Kellock)</t>
  </si>
  <si>
    <t>121 Queensway, Bukit Merah, S(149059)</t>
  </si>
  <si>
    <t>99;157;172;174;174E;198;502;502A;SS4;NR5</t>
  </si>
  <si>
    <t>Chij Katong Convent</t>
  </si>
  <si>
    <t>346 Marine Terrace, Marine Parade, S(449150)</t>
  </si>
  <si>
    <t>273;124</t>
  </si>
  <si>
    <t>Chij Our Lady Of Good Counsel</t>
  </si>
  <si>
    <t>2C Burghley Drive, Serangoon, S(558979)</t>
  </si>
  <si>
    <t>88;101;109;159;161;325</t>
  </si>
  <si>
    <t>Chij Our Lady Of The Nativity</t>
  </si>
  <si>
    <t>1257 Upper Serangoon Road, Hougang, S(534793)</t>
  </si>
  <si>
    <t>163;70;86;103;854</t>
  </si>
  <si>
    <t>Chij Our Lady Queen Of Peace</t>
  </si>
  <si>
    <t>4 Chestnut Drive, Bukit Panjang, S(679287)</t>
  </si>
  <si>
    <t>66;157;174;174E;506;178;941;174M</t>
  </si>
  <si>
    <t>Chij Primary (Toa Payoh)</t>
  </si>
  <si>
    <t>628 Lorong 1 Toa Payoh, Toa Payoh, S(319765)</t>
  </si>
  <si>
    <t>Chij Secondary (Toa Payoh)</t>
  </si>
  <si>
    <t>626 Lorong 1 Toa Payoh, Toa Payoh, S(319764)</t>
  </si>
  <si>
    <t>45;53;53M;62;113</t>
  </si>
  <si>
    <t>Chij St. Joseph'S Convent</t>
  </si>
  <si>
    <t>62 Sengkang East Way, Seng Kang, S(548595)</t>
  </si>
  <si>
    <t>Chij St. Nicholas Girls' School</t>
  </si>
  <si>
    <t>501 Ang Mo Kio Street 13, Ang Mo Kio, S(569405)</t>
  </si>
  <si>
    <t>293;72;27;168</t>
  </si>
  <si>
    <t>Chij St. Theresa'S Convent</t>
  </si>
  <si>
    <t>160 Lower Delta Road, Bukit Merah, S(99138)</t>
  </si>
  <si>
    <t>800;801</t>
  </si>
  <si>
    <t>Chongfu School</t>
  </si>
  <si>
    <t>170 Yishun Avenue 6, Yishun, S(768959)</t>
  </si>
  <si>
    <t>10;16;31;32;33;40;76;135;197</t>
  </si>
  <si>
    <t>Chongzheng Primary School</t>
  </si>
  <si>
    <t>1 Tampines Street 21, Tampines, S(529392)</t>
  </si>
  <si>
    <t>3;53;81;89</t>
  </si>
  <si>
    <t>Christ Church Secondry School</t>
  </si>
  <si>
    <t>20 Woodlands Drive 17, Woodlands, S(737924)</t>
  </si>
  <si>
    <t>Chua Chu Kang Primary School</t>
  </si>
  <si>
    <t>20 Choa Chu Kang Avenue 2, Choa Chu Kang, S(689905)</t>
  </si>
  <si>
    <t>506;228;222;168;66;67;69;28;14;17</t>
  </si>
  <si>
    <t>Chua Chu Kang Secondary School</t>
  </si>
  <si>
    <t>3 Teck Whye Crescent, Choa Chu Kang, S(688845)</t>
  </si>
  <si>
    <t>61;66;77;106;157;174;178;506;852;963</t>
  </si>
  <si>
    <t>Chung Cheng High School (Main)</t>
  </si>
  <si>
    <t>50 Goodman Road, Marine Parade, S(439012)</t>
  </si>
  <si>
    <t>3;4;9;12;17;19;21;28;29;34;37;39;59;81;291;518</t>
  </si>
  <si>
    <t>Chung Cheng High School (Yishun)</t>
  </si>
  <si>
    <t>11 Yishun Street 61, Yishun, S(768547)</t>
  </si>
  <si>
    <t>8;15;22;55;65;60;66;87;506</t>
  </si>
  <si>
    <t>Clementi Primary School</t>
  </si>
  <si>
    <t>8 Clementi Ave 3, Clementi, S(129903)</t>
  </si>
  <si>
    <t>80;134;155</t>
  </si>
  <si>
    <t>CLEMENTI TOWN SECONDARY SCHOOL</t>
  </si>
  <si>
    <t>10 Clementi Ave 3, Clementi, S(129904)</t>
  </si>
  <si>
    <t>Commonwealth Secondary School</t>
  </si>
  <si>
    <t>698 West Coast Road, Jurong East, S(608784)</t>
  </si>
  <si>
    <t>98;98A;30</t>
  </si>
  <si>
    <t>Compassvale Primary School</t>
  </si>
  <si>
    <t>21 Compassvale St, Seng Kang, S(545091)</t>
  </si>
  <si>
    <t>28;93;100;135;155;158</t>
  </si>
  <si>
    <t>Compassvale Secondary School</t>
  </si>
  <si>
    <t>51 Compassvale Crescent, Seng Kang, S(545083)</t>
  </si>
  <si>
    <t>Concord Primary School</t>
  </si>
  <si>
    <t>3 Choa Chu Kang Ave 4, Choa Chu Kang, S(689814)</t>
  </si>
  <si>
    <t>2;9;12;14;24;31;35;38;45;47;48</t>
  </si>
  <si>
    <t>CORAL PRIMARY SCHOOL</t>
  </si>
  <si>
    <t>20 Pasir Ris St 51, Pasir Ris, S(518902)</t>
  </si>
  <si>
    <t>13;52;54;55;56;57;59;88;93;156;157;163;410</t>
  </si>
  <si>
    <t>Corporation Primary School</t>
  </si>
  <si>
    <t>31 Jurong West Street 24, Jurong West, S(648347)</t>
  </si>
  <si>
    <t>Crescent Girls' School</t>
  </si>
  <si>
    <t>357 Tanglin Road, Bukit Merah, S(247961)</t>
  </si>
  <si>
    <t>Crest Secondary School</t>
  </si>
  <si>
    <t>561 Jurong East Street 24, Jurong East, S(609561)</t>
  </si>
  <si>
    <t>8;18;21;38;81</t>
  </si>
  <si>
    <t>Da Qiao Primary School</t>
  </si>
  <si>
    <t>8 Ang Mo Kio Street 54, Ang Mo Kio, S(569185)</t>
  </si>
  <si>
    <t>14;33;74;166;196</t>
  </si>
  <si>
    <t>Damai Secondary School</t>
  </si>
  <si>
    <t>4800 Bedok Reservoir Road, Bedok, S(479229)</t>
  </si>
  <si>
    <t>3;15;39;53;81;88;89;357;403;518</t>
  </si>
  <si>
    <t>Dazhong Primary School</t>
  </si>
  <si>
    <t>35 Bukit Batok Street 31, Bukit Batok, S(659441)</t>
  </si>
  <si>
    <t>5;8;15;22;25;45;51;55;59;61;63;63M;65;66;93;94;854</t>
  </si>
  <si>
    <t>De La Salle School</t>
  </si>
  <si>
    <t>11 Choa Chu Kang St 52, Choa Chu Kang, S(689285)</t>
  </si>
  <si>
    <t>302;979</t>
  </si>
  <si>
    <t>Deyi Secondary School</t>
  </si>
  <si>
    <t>1 Ang Mo Kio Street 42, Ang Mo Kio, S(569277)</t>
  </si>
  <si>
    <t>Dunearn Secondary School</t>
  </si>
  <si>
    <t>21 Bukit Batok West Avenue 2, Bukit Batok, S(659204)</t>
  </si>
  <si>
    <t>Dunman High School</t>
  </si>
  <si>
    <t>10 Tanjong Rhu Road, Kallang, S(436895)</t>
  </si>
  <si>
    <t>76;132;165;166;169;262;265;268</t>
  </si>
  <si>
    <t>Dunman Secondary School</t>
  </si>
  <si>
    <t>21 Tampines Street 45, Tampines, S(529093)</t>
  </si>
  <si>
    <t>2023-09-09</t>
  </si>
  <si>
    <t>East Coast Primary School</t>
  </si>
  <si>
    <t>8 Chai Chee Lane, Bedok, S(469031)</t>
  </si>
  <si>
    <t>22;43;45;53;58;70;81;82;100;101;103;105;107;109;133;135;147;153;158;315;317;853</t>
  </si>
  <si>
    <t>EAST SPRING PRIMARY SCHOOL</t>
  </si>
  <si>
    <t>31 Tampines St 33, Tampines, S(529258)</t>
  </si>
  <si>
    <t>32;51;93;100;105;111;122;123;145;147;153;186;195;196;198;855;961;970</t>
  </si>
  <si>
    <t>East Spring Secondary School</t>
  </si>
  <si>
    <t>30 Tampines Street 34, Tampines, S(529231)</t>
  </si>
  <si>
    <t>13;74;76;88;130;132;133;136;165;169;265;268;269;851;852</t>
  </si>
  <si>
    <t>East View Primary School</t>
  </si>
  <si>
    <t>4 Tampines Street 91, Tampines, S(528907)</t>
  </si>
  <si>
    <t>22;24;43;53;70;76;103;109;116;147;156;315;317;853</t>
  </si>
  <si>
    <t>East View Secondary School</t>
  </si>
  <si>
    <t>3 Tampines Street 42, Tampines, S(529177)</t>
  </si>
  <si>
    <t>73;105;105A;159</t>
  </si>
  <si>
    <t>Edgefield Primary School</t>
  </si>
  <si>
    <t>41 Edgefield Plains, Punggol, S(828869)</t>
  </si>
  <si>
    <t>EDGEFIELD SECONDARY SCHOOL</t>
  </si>
  <si>
    <t>36 Punggol Field, Punggol, S(828814)</t>
  </si>
  <si>
    <t>3;359</t>
  </si>
  <si>
    <t>Elias Park Primary School</t>
  </si>
  <si>
    <t>11 Pasir Ris Street 52, Pasir Ris, S(518866)</t>
  </si>
  <si>
    <t>12;21;358</t>
  </si>
  <si>
    <t>Endeavour Primary School</t>
  </si>
  <si>
    <t>10 Admiralty Link, Sembawang, S(757521)</t>
  </si>
  <si>
    <t>300;983</t>
  </si>
  <si>
    <t>Eunoia Junior College</t>
  </si>
  <si>
    <t>53 Mount Sinai Road, Bishan, S(276880)</t>
  </si>
  <si>
    <t>22;24;28;43;58;62;70;70M;76;80;80A;93;158</t>
  </si>
  <si>
    <t>Eunos Primary School</t>
  </si>
  <si>
    <t>95 Jalan Eunos, Geylang, S(419529)</t>
  </si>
  <si>
    <t>13;16;31;36;43;48;55;135;196;196e;197</t>
  </si>
  <si>
    <t>Evergreen Primary School</t>
  </si>
  <si>
    <t>31 Woodlands Circle, Woodlands, S(738908)</t>
  </si>
  <si>
    <t>52;98;99;105;160;176;183;187;333;334;502;506</t>
  </si>
  <si>
    <t>Evergreen Secondary School</t>
  </si>
  <si>
    <t>11 Woodlands Street 83, Woodlands, S(738489)</t>
  </si>
  <si>
    <t>8;17;18;28;34;39;59;518;292</t>
  </si>
  <si>
    <t>Fairfield Methodist School (Primary)</t>
  </si>
  <si>
    <t>100 Dover Road, Queenstown, S(139648)</t>
  </si>
  <si>
    <t>66;67;74;77;151;154;156;157;170;171;174;563;852;961;961C;970</t>
  </si>
  <si>
    <t>Fairfield Methodist School (Secondary)</t>
  </si>
  <si>
    <t>102 Dover Road, Queenstown, S(139649)</t>
  </si>
  <si>
    <t>161;168;901;900A</t>
  </si>
  <si>
    <t>Fajar Secondary School</t>
  </si>
  <si>
    <t>31 Gangsa Road, Bukit Panjang, S(678972)</t>
  </si>
  <si>
    <t>Farrer Park Primary School</t>
  </si>
  <si>
    <t>2 Farrer Park Road, Kallang, S(217567)</t>
  </si>
  <si>
    <t>Fengshan Primary School</t>
  </si>
  <si>
    <t>307 Bedok North Road, Bedok, S(469680)</t>
  </si>
  <si>
    <t>76;265;268;269</t>
  </si>
  <si>
    <t>Fern Green Primary School</t>
  </si>
  <si>
    <t>70 Fernvale Link, Seng Kang, S(797538)</t>
  </si>
  <si>
    <t>74;136;147;102;112;113;119</t>
  </si>
  <si>
    <t>First Toa Payoh Primary School</t>
  </si>
  <si>
    <t>7 Lorong 8 Toa Payoh, Toa Payoh, S(319252)</t>
  </si>
  <si>
    <t>265;548;45;50;72</t>
  </si>
  <si>
    <t>Frontier Primary School</t>
  </si>
  <si>
    <t>20 Jurong West Street 61, Jurong West, S(648200)</t>
  </si>
  <si>
    <t>25;55;80;81;82;85;97;101;107;111;112;113;119;132;136;153</t>
  </si>
  <si>
    <t>Fuchun Primary School</t>
  </si>
  <si>
    <t>23 Woodlands Avenue 1, Woodlands, S(739063)</t>
  </si>
  <si>
    <t>10;12;13;14;16;31;32;36;40;48;55;76;155;135;196;197</t>
  </si>
  <si>
    <t>Fuchun Secondary School</t>
  </si>
  <si>
    <t>21 Woodlands Avenue 1, Woodlands, S(739062)</t>
  </si>
  <si>
    <t>61;62;64;65;66;100;135;155;154</t>
  </si>
  <si>
    <t>Fuhua Primary School</t>
  </si>
  <si>
    <t>65 Jurong East Street 13, Jurong East, S(609647)</t>
  </si>
  <si>
    <t>135;136</t>
  </si>
  <si>
    <t>Fuhua Secondary School</t>
  </si>
  <si>
    <t>5 Jurong West Street 41, Jurong West, S(649410)</t>
  </si>
  <si>
    <t>83;85;3</t>
  </si>
  <si>
    <t>GAN ENG SENG PRIMARY SCHOOL</t>
  </si>
  <si>
    <t>100 Redhill Close, Bukit Merah, S(158901)</t>
  </si>
  <si>
    <t>812;169;804;965;117;883</t>
  </si>
  <si>
    <t>Gan Eng Seng School</t>
  </si>
  <si>
    <t>1 Henderson Road, Bukit Merah, S(159561)</t>
  </si>
  <si>
    <t>49;98;98A;99;157;185;187;198;334;502</t>
  </si>
  <si>
    <t>Geylang Methodist School (Primary)</t>
  </si>
  <si>
    <t>4 Geylang East Central, Geylang, S(389706)</t>
  </si>
  <si>
    <t>14;63;147;196;197;855;961</t>
  </si>
  <si>
    <t>Geylang Methodist School (Secondary)</t>
  </si>
  <si>
    <t>2 Geylang East Central, Geylang, S(389705)</t>
  </si>
  <si>
    <t>410;13;56;57;59;88;93;157;163</t>
  </si>
  <si>
    <t>Gongshang Primary School</t>
  </si>
  <si>
    <t>1 Tampines Street 42, Tampines, S(529176)</t>
  </si>
  <si>
    <t>187;856;912;925;926;950;960;961;963;966</t>
  </si>
  <si>
    <t>Greendale Primary School</t>
  </si>
  <si>
    <t>50 Edgedale Plains, Punggol, S(828848)</t>
  </si>
  <si>
    <t>156;159;161;371;372</t>
  </si>
  <si>
    <t>Greendale Secondary School</t>
  </si>
  <si>
    <t>51 Edgedale Plains, Punggol, S(828866)</t>
  </si>
  <si>
    <t>2;7;16;24;25;28;30;30E;31;32;33;38;40;67;196;197;222;229;401;854</t>
  </si>
  <si>
    <t>Greenridge Primary School</t>
  </si>
  <si>
    <t>11 Jelapang Road, Bukit Panjang, S(677744)</t>
  </si>
  <si>
    <t>Greenridge Secondary School</t>
  </si>
  <si>
    <t>32 Bukit Panjang Ring Road, Bukit Panjang, S(679938)</t>
  </si>
  <si>
    <t>105;132;190;972</t>
  </si>
  <si>
    <t>Greenwood Primary School</t>
  </si>
  <si>
    <t>11 Woodlands  Dr  62, Woodlands, S(737942)</t>
  </si>
  <si>
    <t>Guangyang Primary School</t>
  </si>
  <si>
    <t>6 Bishan Street 12, Bishan, S(579806)</t>
  </si>
  <si>
    <t>53;54;56;410G;410W</t>
  </si>
  <si>
    <t>Guangyang Secondary School</t>
  </si>
  <si>
    <t>8 Bishan Street 12, Bishan, S(579807)</t>
  </si>
  <si>
    <t>Hai Sing Catholic School</t>
  </si>
  <si>
    <t>9 Pasir Ris Drive 6, Pasir Ris, S(519421)</t>
  </si>
  <si>
    <t>804;806</t>
  </si>
  <si>
    <t>Haig Girls' School</t>
  </si>
  <si>
    <t>51 Koon Seng Road, Geylang, S(427072)</t>
  </si>
  <si>
    <t>2;7;24;25;26;28;30;32;33;67;854</t>
  </si>
  <si>
    <t>Henry Park Primary School</t>
  </si>
  <si>
    <t>1 Holland Grove Road, Bukit Timah, S(278790)</t>
  </si>
  <si>
    <t>7;14;16;36;64;65;77;106;111;124;128;131;147;162;166;167;171;174;175;190;502;518;700;857</t>
  </si>
  <si>
    <t>Hillgrove Secondary School</t>
  </si>
  <si>
    <t>10 Bukit Batok Street 52, Bukit Batok, S(659250)</t>
  </si>
  <si>
    <t>170;67;75;171;176;178;184;961;963;970</t>
  </si>
  <si>
    <t>Holy Innocents' High School</t>
  </si>
  <si>
    <t>1191 Upper Serangoon Road, Hougang, S(534786)</t>
  </si>
  <si>
    <t>722;920;922;971E;972</t>
  </si>
  <si>
    <t>Holy Innocents' Primary School</t>
  </si>
  <si>
    <t>4300 Ang Mo Kio Avenue 5, Hougang, S(569869)</t>
  </si>
  <si>
    <t>2;7;12;32;33;61;62;63;80;130;133;145;197;NR8</t>
  </si>
  <si>
    <t>HONG KAH SECONDARY SCHOOL</t>
  </si>
  <si>
    <t>931 Jurong West Street 42, Jurong West, S(649370)</t>
  </si>
  <si>
    <t>15;21;25;51;55;63;93;94;60;61;854;966</t>
  </si>
  <si>
    <t>Hong Wen School</t>
  </si>
  <si>
    <t>30 Towner Road, Kallang, S(327829)</t>
  </si>
  <si>
    <t>920;972</t>
  </si>
  <si>
    <t>Horizon Primary School</t>
  </si>
  <si>
    <t>61 Edgedale Plains, Punggol, S(828819)</t>
  </si>
  <si>
    <t>13;86;162;269;825;851;852;853</t>
  </si>
  <si>
    <t>Hougang Secondary School</t>
  </si>
  <si>
    <t>2 Hougang Street 93, Hougang, S(534256)</t>
  </si>
  <si>
    <t>4;8;18;19;21;37;38;81</t>
  </si>
  <si>
    <t>Hua Yi Secondary School</t>
  </si>
  <si>
    <t>60 Jurong West St 42, Jurong West, S(649371)</t>
  </si>
  <si>
    <t>49;98;99;157;185;187;198;335;502</t>
  </si>
  <si>
    <t>Huamin Primary School</t>
  </si>
  <si>
    <t>530 Yishun Ring Road, Yishun, S(768680)</t>
  </si>
  <si>
    <t>32;93;100;105;111;122;123;145;147;153;186;195;196;198;855;961;970</t>
  </si>
  <si>
    <t>Hwa Chong Institution</t>
  </si>
  <si>
    <t>661 Bukit Timah Road, Bukit Timah, S(269734)</t>
  </si>
  <si>
    <t>66;67;74;151;154;156;157;170;171;174;852;961</t>
  </si>
  <si>
    <t>09-09-2021</t>
  </si>
  <si>
    <t>Innova Junior COLLEGE</t>
  </si>
  <si>
    <t>21 Champions Way, Woodlands, S(737902)</t>
  </si>
  <si>
    <t>25;51;53;55;62;87;113;119;151;854</t>
  </si>
  <si>
    <t>Innova Primary School</t>
  </si>
  <si>
    <t>80 Woodlands Drive 17, Woodlands, S(737888)</t>
  </si>
  <si>
    <t>13;16;31;36;55;608;197;196;135</t>
  </si>
  <si>
    <t>Jing Shan Primary SCHOol</t>
  </si>
  <si>
    <t>5 Ang Mo Kio St 52, Ang Mo Kio, S(569228)</t>
  </si>
  <si>
    <t>2021-07-09</t>
  </si>
  <si>
    <t>Junyuan Primary School</t>
  </si>
  <si>
    <t>2 Tampines Street 91, Tampines, S(528906)</t>
  </si>
  <si>
    <t>27;72;74;80;87;89;101;107;113;116;119;132;136;147;153;161;165;324;325</t>
  </si>
  <si>
    <t>Junyuan Secondary School</t>
  </si>
  <si>
    <t>11 Tampines Street 84, Tampines, S(528933)</t>
  </si>
  <si>
    <t>12;16;31;38;47;155;196;197;229</t>
  </si>
  <si>
    <t>Jurong Junior College</t>
  </si>
  <si>
    <t>800 Corporation Road, Jurong West, S(649809)</t>
  </si>
  <si>
    <t>10;14;45</t>
  </si>
  <si>
    <t>Jurong Primary SCHOol</t>
  </si>
  <si>
    <t>320 Jurong East Street 32, Jurong East, S(609476)</t>
  </si>
  <si>
    <t>Jurong Secondary School</t>
  </si>
  <si>
    <t>31 Yuan Ching Road, Jurong West, S(618652)</t>
  </si>
  <si>
    <t>8;26;31;90;142;151;154;857;966;985;853</t>
  </si>
  <si>
    <t>Jurong West Secondary School</t>
  </si>
  <si>
    <t>61 Jurong West Street 65, Jurong West, S(648348)</t>
  </si>
  <si>
    <t>18;228;222;17;69;66;67;168;28;506;14;45</t>
  </si>
  <si>
    <t>Jurongville Secondary School</t>
  </si>
  <si>
    <t>202 Jurong East Avenue 1, Jurong East, S(609790)</t>
  </si>
  <si>
    <t>98;99;157;185;187;198;334;502</t>
  </si>
  <si>
    <t>2023-14-05</t>
  </si>
  <si>
    <t>Juying Primary School</t>
  </si>
  <si>
    <t>31 Jurong West Street 91, Jurong West, S(649037)</t>
  </si>
  <si>
    <t>975;985;190;307</t>
  </si>
  <si>
    <t>Juying Secondary School</t>
  </si>
  <si>
    <t>33 Jurong West Street 91, Jurong West, S(649038)</t>
  </si>
  <si>
    <t>Keming Primary School</t>
  </si>
  <si>
    <t>90 Bukit Batok East Avenue 6, Bukit Batok, S(659762)</t>
  </si>
  <si>
    <t>Kent Ridge Secondary School</t>
  </si>
  <si>
    <t>147 West Coast Road, Clementi, S(127368)</t>
  </si>
  <si>
    <t>913;911;858</t>
  </si>
  <si>
    <t>Kheng Cheng School</t>
  </si>
  <si>
    <t>15 Lorong 3 Toa Payoh, Toa Payoh, S(319580)</t>
  </si>
  <si>
    <t>30;51;78;79;143;143M;176;201</t>
  </si>
  <si>
    <t>Kong Hwa School</t>
  </si>
  <si>
    <t>350 Guillemard Road, Geylang, S(399772)</t>
  </si>
  <si>
    <t>Kranji Primary School</t>
  </si>
  <si>
    <t>11 Choa Chu Kang Street 54, Choa Chu Kang, S(689189)</t>
  </si>
  <si>
    <t>22;24;53;105;156;315;853;501;70;76;103;147;502</t>
  </si>
  <si>
    <t>Kranji Secondary School</t>
  </si>
  <si>
    <t>38 Teck Whye Crescent, Choa Chu Kang, S(688945)</t>
  </si>
  <si>
    <t>25;55;55A;73;74;76;76A;132;165;315</t>
  </si>
  <si>
    <t>Kuo Chuan Presbyterian Primary School</t>
  </si>
  <si>
    <t>8 Bishan Street 13, Bishan, S(579793)</t>
  </si>
  <si>
    <t>3;34;62;82;83;85;136;965;386</t>
  </si>
  <si>
    <t>Kuo Chuan Presbyterian Secondary School</t>
  </si>
  <si>
    <t>10 Bishan Street 13, Bishan, S(579795)</t>
  </si>
  <si>
    <t>64;65;65M;85;97;103;111;131;139</t>
  </si>
  <si>
    <t>Lakeside Primary School</t>
  </si>
  <si>
    <t>161 Corporation Walk, Jurong West, S(618310)</t>
  </si>
  <si>
    <t>49;98;99;157;180;185;187;198;334;335;502</t>
  </si>
  <si>
    <t>Lianhua Primary School</t>
  </si>
  <si>
    <t>2 Bukit Batok Street 52, Bukit Batok, S(659243)</t>
  </si>
  <si>
    <t>16;33</t>
  </si>
  <si>
    <t>Loyang Primary School</t>
  </si>
  <si>
    <t>3 Pasir Ris Drive 6, Pasir Ris, S(519419)</t>
  </si>
  <si>
    <t>22;24;25;73;74;76;88;132;135;159;162;165;261;262;268;853</t>
  </si>
  <si>
    <t>Loyang View Secondary School</t>
  </si>
  <si>
    <t>12 Pasir Ris Street 11, Pasir Ris, S(519073)</t>
  </si>
  <si>
    <t>173;157;178;852;66;106;61;506;963;77</t>
  </si>
  <si>
    <t>macpherson Primary School</t>
  </si>
  <si>
    <t>2 Mattar Road, Geylang, S(387724)</t>
  </si>
  <si>
    <t>40;63;65;66;135;154;155</t>
  </si>
  <si>
    <t>Maha Bodhi School</t>
  </si>
  <si>
    <t>10 Ubi Avenue 1, Geylang, S(408931)</t>
  </si>
  <si>
    <t>8;15;22;25;51;55;61;63;63M;65;66;93;94;854</t>
  </si>
  <si>
    <t>Manjusri Secondary School</t>
  </si>
  <si>
    <t>20 Ubi Avenue 1, Geylang, S(408940)</t>
  </si>
  <si>
    <t>Maris Stella High School</t>
  </si>
  <si>
    <t>25 Mount Vernon Road, Toa Payoh, S(368051)</t>
  </si>
  <si>
    <t>359;53;81</t>
  </si>
  <si>
    <t>Marsiling Primary School</t>
  </si>
  <si>
    <t>31 Woodlands Centre Road, Woodlands, S(738927)</t>
  </si>
  <si>
    <t>80;82;87;88;89;119</t>
  </si>
  <si>
    <t>Marsiling Secondary School</t>
  </si>
  <si>
    <t>12 Marsiling Road, Woodlands, S(739110)</t>
  </si>
  <si>
    <t>154;240;246;98;180;182;187</t>
  </si>
  <si>
    <t>Marymount Convent School</t>
  </si>
  <si>
    <t>20 Marymount Road, Toa Payoh, S(297754)</t>
  </si>
  <si>
    <t>85;811;812;851;852;853;854;855;858;965;969</t>
  </si>
  <si>
    <t>Mayflower Primary School</t>
  </si>
  <si>
    <t>200 Ang Mo Kio Ave 5, Ang Mo Kio, S(569878)</t>
  </si>
  <si>
    <t>13;86;138;162;269;851;852;853</t>
  </si>
  <si>
    <t>2021-09-09</t>
  </si>
  <si>
    <t>MAYFLOWER SECONDARY SCHOOL</t>
  </si>
  <si>
    <t>2 Ang Mo Kio Street 21, Ang Mo Kio, S(569384)</t>
  </si>
  <si>
    <t>912;912E</t>
  </si>
  <si>
    <t>Mee Toh School</t>
  </si>
  <si>
    <t>21 Edgedale Plains, Punggol, S(828867)</t>
  </si>
  <si>
    <t>2;9;12;14;24;25;31;35;38;45;46;47;48;506;545</t>
  </si>
  <si>
    <t>Meridian Junior College</t>
  </si>
  <si>
    <t>21 Pasir Ris Street 71, Pasir Ris, S(518799)</t>
  </si>
  <si>
    <t>74;95;100;105;106;111;145;147;191;196;198;602</t>
  </si>
  <si>
    <t>Meridian Primary School</t>
  </si>
  <si>
    <t>20 Pasir Ris St 71, Pasir Ris, S(518798)</t>
  </si>
  <si>
    <t>8;13;26;31;90;90A;107;133;142;147;853</t>
  </si>
  <si>
    <t>Meridian Secondary School</t>
  </si>
  <si>
    <t>31 Pasir Ris Street 51, Pasir Ris, S(518901)</t>
  </si>
  <si>
    <t>10;10E;13;14;25;43;46;229;506;531;853</t>
  </si>
  <si>
    <t>Methodist Girls' School (Primary)</t>
  </si>
  <si>
    <t>11 Blackmore Drive, Bukit Timah, S(599986)</t>
  </si>
  <si>
    <t>5;21;22;59;65;66;228;506;CT18</t>
  </si>
  <si>
    <t>Methodist Girls' School (Secondary)</t>
  </si>
  <si>
    <t>187;188</t>
  </si>
  <si>
    <t>Millennia Institute</t>
  </si>
  <si>
    <t>60 Bukit Batok West Avenue 8, Bukit Batok, S(658965)</t>
  </si>
  <si>
    <t>Centralised Institute</t>
  </si>
  <si>
    <t>52;132;162;163;165;166;167;410;855;980</t>
  </si>
  <si>
    <t>Montfort Junior School</t>
  </si>
  <si>
    <t>52 Hougang Avenue 8, Hougang, S(538786)</t>
  </si>
  <si>
    <t>Montfort Secondary School</t>
  </si>
  <si>
    <t>50 Hougang Avenue 8, Hougang, S(538785)</t>
  </si>
  <si>
    <t>800;812;167;169;171;980</t>
  </si>
  <si>
    <t>Nan Chiau High School</t>
  </si>
  <si>
    <t>20 Anchorvale Link, Seng Kang, S(545079)</t>
  </si>
  <si>
    <t>358;17;81;12;3</t>
  </si>
  <si>
    <t>Nan Chiau Primary School</t>
  </si>
  <si>
    <t>50 Anchorvale Link, Seng Kang, S(545080)</t>
  </si>
  <si>
    <t>176;985;945</t>
  </si>
  <si>
    <t>Nan Hua High School</t>
  </si>
  <si>
    <t>41 Clementi Avenue 1, Clementi, S(129956)</t>
  </si>
  <si>
    <t>Nan Hua Primary School</t>
  </si>
  <si>
    <t>170 West Coast Road, Clementi, S(127443)</t>
  </si>
  <si>
    <t>14;17;18;28;66;67;69;225</t>
  </si>
  <si>
    <t>Nanyang Junior College</t>
  </si>
  <si>
    <t>128 Serangoon Avenue 3, Serangoon, S(556111)</t>
  </si>
  <si>
    <t>22;24;53;73;133;105;135;136;156;853</t>
  </si>
  <si>
    <t>01-01-2021</t>
  </si>
  <si>
    <t>Nanyang Primary School</t>
  </si>
  <si>
    <t>52 King'S Road, Bukit Timah, S(268097)</t>
  </si>
  <si>
    <t>National Junior College</t>
  </si>
  <si>
    <t>37 Hillcrest Road, Bukit Timah, S(288913)</t>
  </si>
  <si>
    <t>151;154;156;157;170;170X;171;174;66;67;67A;67W;74;852;961;961C</t>
  </si>
  <si>
    <t>Naval Base Primary School</t>
  </si>
  <si>
    <t>7 Yishun Ave 4, Yishun, S(769028)</t>
  </si>
  <si>
    <t>10;12;14;16;30;31;32;33;40;43;135;134;196;197</t>
  </si>
  <si>
    <t>Naval Base Secondary School</t>
  </si>
  <si>
    <t>901 Yishun Ring Road, Yishun, S(768689)</t>
  </si>
  <si>
    <t>New Town Primary School</t>
  </si>
  <si>
    <t>300 Tanglin Halt Road, Queenstown, S(148812)</t>
  </si>
  <si>
    <t>48;93;153;165;174;186;855;961</t>
  </si>
  <si>
    <t>New Town Secondary School</t>
  </si>
  <si>
    <t>1020 Dover Road, Queenstown, S(139657)</t>
  </si>
  <si>
    <t>28;56;73;88;93;105;153;155;159;163;157;231;232</t>
  </si>
  <si>
    <t>Ngee Ann Primary School</t>
  </si>
  <si>
    <t>344 Marine Terrace, Marine Parade, S(449149)</t>
  </si>
  <si>
    <t>43;72;88;101;109;116;156;159;325</t>
  </si>
  <si>
    <t>Ngee Ann Secondary School</t>
  </si>
  <si>
    <t>1 Tampines Street 32, Tampines, S(529283)</t>
  </si>
  <si>
    <t>North Spring Primary School</t>
  </si>
  <si>
    <t>1 Rivervale Street, Seng Kang, S(545088)</t>
  </si>
  <si>
    <t>22;24;135;853;162;262;159</t>
  </si>
  <si>
    <t>North View Primary School</t>
  </si>
  <si>
    <t>210 Yishun Avenue 6, Yishun, S(768960)</t>
  </si>
  <si>
    <t>51;66;66B;78;79;97;97A;98;105;105B;143;176;197;333;334;335;506</t>
  </si>
  <si>
    <t>North Vista Primary School</t>
  </si>
  <si>
    <t>20 Compassvale Link, Seng Kang, S(544974)</t>
  </si>
  <si>
    <t>174;123;16;175;195;33;5;63;75;851;970;186;51;64</t>
  </si>
  <si>
    <t>North Vista Secondary School</t>
  </si>
  <si>
    <t>11 Rivervale Link, Seng Kang, S(545081)</t>
  </si>
  <si>
    <t>30;51;143;175;201;533;655;727;762</t>
  </si>
  <si>
    <t>Northbrooks Secondary School</t>
  </si>
  <si>
    <t>585 Yishun Ring Road, Yishun, S(768692)</t>
  </si>
  <si>
    <t>Northland Primary School</t>
  </si>
  <si>
    <t>15 Yishun Avenue 4, Yishun, S(769026)</t>
  </si>
  <si>
    <t>Northland Secondary School</t>
  </si>
  <si>
    <t>3 Yishun Street 22, Yishun, S(768578)</t>
  </si>
  <si>
    <t>Northlight School</t>
  </si>
  <si>
    <t>151 Towner Road, Marine Parade, S(327830)</t>
  </si>
  <si>
    <t>3;8;15;17;18;20;21;27;28;34;39;59;168;292;518</t>
  </si>
  <si>
    <t>Northoaks Primary School</t>
  </si>
  <si>
    <t>61 Sembawang Drive, Sembawang, S(757622)</t>
  </si>
  <si>
    <t>2021-08-08</t>
  </si>
  <si>
    <t>Nus High School Of Mathematics And Science</t>
  </si>
  <si>
    <t>20 Clementi Avenue 1, Clementi, S(129957)</t>
  </si>
  <si>
    <t>30;51;78;285;143;176</t>
  </si>
  <si>
    <t>Oasis Primary School</t>
  </si>
  <si>
    <t>71 Edgefield Plains, Punggol, S(828716)</t>
  </si>
  <si>
    <t>39;85;171;800;803;804;806;811;812;851;852;853;853C;854;854E;855;856;857;859;860</t>
  </si>
  <si>
    <t>Orchid Park Secondary School</t>
  </si>
  <si>
    <t>10 Yishun Street 81, Yishun, S(768454)</t>
  </si>
  <si>
    <t>912;913;962</t>
  </si>
  <si>
    <t>Outram Secondary School</t>
  </si>
  <si>
    <t>3 York Hill, Central, S(168622)</t>
  </si>
  <si>
    <t>858;900;911;913;964;962;965;969;169;903</t>
  </si>
  <si>
    <t>Park View Primary School</t>
  </si>
  <si>
    <t>60 Pasir Ris Drive 1, Pasir Ris, S(519524)</t>
  </si>
  <si>
    <t>123;131;275;65</t>
  </si>
  <si>
    <t>Pasir Ris Crest Secondary School</t>
  </si>
  <si>
    <t>11 Pasir Ris Street 41, Pasir Ris, S(518934)</t>
  </si>
  <si>
    <t>181;502;243</t>
  </si>
  <si>
    <t>Pasir Ris Primary School</t>
  </si>
  <si>
    <t>5 Pasir Ris Street 21, Pasir Ris, S(518968)</t>
  </si>
  <si>
    <t>76;132;165;166;169;200</t>
  </si>
  <si>
    <t>Pasir Ris Secondary School</t>
  </si>
  <si>
    <t>390 Tampines Street 21, Tampines, S(529400)</t>
  </si>
  <si>
    <t>3;8;10;18;19;22;23;28;29;31;37;38;39;65;67;69;72;81;291;292;293;15;21;27;168</t>
  </si>
  <si>
    <t>Paya Lebar Methodist Girls' School (Primary)</t>
  </si>
  <si>
    <t>298 Lorong Ah Soo, Hougang, S(536741)</t>
  </si>
  <si>
    <t>73;315;116</t>
  </si>
  <si>
    <t>Paya Lebar Methodist Girls' School (Secondary)</t>
  </si>
  <si>
    <t>296 Lor Ah Soo, Hougang, S(536742)</t>
  </si>
  <si>
    <t>92;100;105;106;111;147;185</t>
  </si>
  <si>
    <t>Pei Chun Public School</t>
  </si>
  <si>
    <t>580 Toa Payoh East, Toa Payoh, S(319133)</t>
  </si>
  <si>
    <t>232;57</t>
  </si>
  <si>
    <t>Pei Hwa Presbyterian Primary School</t>
  </si>
  <si>
    <t>7 Pei Wah Avenue, Bukit Timah, S(597610)</t>
  </si>
  <si>
    <t>307;302</t>
  </si>
  <si>
    <t>Pei Hwa Secondary School</t>
  </si>
  <si>
    <t>21 Fernvale Link, Seng Kang, S(797702)</t>
  </si>
  <si>
    <t>66;67;74;151;154;157;170;171;174</t>
  </si>
  <si>
    <t>Pei Tong Primary School</t>
  </si>
  <si>
    <t>15 Clementi Avenue 5, Clementi, S(129857)</t>
  </si>
  <si>
    <t>Peicai Secondary School</t>
  </si>
  <si>
    <t>10 Serangoon Avenue 4, Serangoon, S(556094)</t>
  </si>
  <si>
    <t>16;33;63;123;195;605;851;14;65;147;167;196;197;961</t>
  </si>
  <si>
    <t>Peirce Secondary School</t>
  </si>
  <si>
    <t>10 Sin Ming Walk, Bishan, S(575566)</t>
  </si>
  <si>
    <t>33;96;151;196;183</t>
  </si>
  <si>
    <t>Peiying Primary School</t>
  </si>
  <si>
    <t>651 Yishun Ring Road, Yishun, S(768687)</t>
  </si>
  <si>
    <t>Ping Yi Secondary School</t>
  </si>
  <si>
    <t>61 Chai Chee Street, Bedok, S(468980)</t>
  </si>
  <si>
    <t>26;222;222P;2;7;24;25;28;30;30E;32;33;40;67;229;401;854;45;60;87</t>
  </si>
  <si>
    <t>Pioneer Primary SCHOOL</t>
  </si>
  <si>
    <t>23 Jurong West Street 81, Jurong West, S(649076)</t>
  </si>
  <si>
    <t>800;812</t>
  </si>
  <si>
    <t>Poi Ching School</t>
  </si>
  <si>
    <t>21 Tampines Street 71, Tampines, S(529067)</t>
  </si>
  <si>
    <t>99;157;185;198;507;NR5;502;625;174;174M</t>
  </si>
  <si>
    <t>Presbyterian High School</t>
  </si>
  <si>
    <t>5209 Ang Mo Kio Avenue 6, Ang Mo Kio, S(569845)</t>
  </si>
  <si>
    <t>Princess Elizabeth Primary School</t>
  </si>
  <si>
    <t>30 Bukit Batok West Avenue 3, Bukit Batok, S(659163)</t>
  </si>
  <si>
    <t>Punggol Cove Primary School</t>
  </si>
  <si>
    <t>52 Sumang Walk, Punggol, S(828674)</t>
  </si>
  <si>
    <t>920;922;972</t>
  </si>
  <si>
    <t>Punggol Green Primary SCHOOL</t>
  </si>
  <si>
    <t>98 Punggol Walk, Punggol, S(828772)</t>
  </si>
  <si>
    <t>76;132;165;166;169;265;268;269</t>
  </si>
  <si>
    <t>Punggol Primary School</t>
  </si>
  <si>
    <t>61 Hougang Avenue 8, Hougang, S(538787)</t>
  </si>
  <si>
    <t>13;52;54;88;156;162;162M;410</t>
  </si>
  <si>
    <t>Punggol Secondary School</t>
  </si>
  <si>
    <t>51 Edgefield Plains, Punggol, S(828870)</t>
  </si>
  <si>
    <t>4N;13;16;31;36;43;47;48;55;134;135;150;196;196E;197;541;763;853</t>
  </si>
  <si>
    <t>Punggol View Primary SCHOOL</t>
  </si>
  <si>
    <t>9 Punggol Place, Punggol, S(828845)</t>
  </si>
  <si>
    <t>307;301;302;160;170;178;925;927;960;983;961</t>
  </si>
  <si>
    <t>Qifa Primary School</t>
  </si>
  <si>
    <t>50 West Coast Avenue, Clementi, S(128104)</t>
  </si>
  <si>
    <t>170;171;176;178;180</t>
  </si>
  <si>
    <t>Qihua Primary School</t>
  </si>
  <si>
    <t>5 Woodlands Street 81, Woodlands, S(738525)</t>
  </si>
  <si>
    <t>43;83;85;109;156;159;161;163;372</t>
  </si>
  <si>
    <t>Queenstown Primary School</t>
  </si>
  <si>
    <t>310 Margaret Dr, Queenstown, S(149303)</t>
  </si>
  <si>
    <t>5;8;10;15;18;21;22;23;27;28;31;34;39;59;65;67;168;292;293</t>
  </si>
  <si>
    <t>Queenstown Secondary School</t>
  </si>
  <si>
    <t>1 Strathmore Road, Queenstown, S(148800)</t>
  </si>
  <si>
    <t>40;62;63;80;100;125;134;153;155;158;180</t>
  </si>
  <si>
    <t>Queensway Secondary School</t>
  </si>
  <si>
    <t>2A Margaret Drive, Queenstown, S(149295)</t>
  </si>
  <si>
    <t>22;129;293</t>
  </si>
  <si>
    <t>Radin Mas Primary School</t>
  </si>
  <si>
    <t>1 Bukit Purmei Avenue, Bukit Merah, S(99840)</t>
  </si>
  <si>
    <t>65;121;123;123M;124;131;131M;195;195A;272;855</t>
  </si>
  <si>
    <t>Raffles Girls' Primary School</t>
  </si>
  <si>
    <t>21 Hillcrest Road, Bukit Timah, S(289072)</t>
  </si>
  <si>
    <t>105;132;151;153;154;156;186;190;700;960;972</t>
  </si>
  <si>
    <t>Raffles Girls' School (Secondary)</t>
  </si>
  <si>
    <t>20 Anderson Road, Central, S(259978)</t>
  </si>
  <si>
    <t>69;291;293</t>
  </si>
  <si>
    <t>Raffles Institution</t>
  </si>
  <si>
    <t>1 Raffles Institution Lane, Bishan, S(575954)</t>
  </si>
  <si>
    <t>Red Swastika School</t>
  </si>
  <si>
    <t>350 Bedok North Avenue 3, Bedok, S(469719)</t>
  </si>
  <si>
    <t>8;61;64;65;66;90;100;135;151;154;155</t>
  </si>
  <si>
    <t>Regent Secondary School</t>
  </si>
  <si>
    <t>50 Choa Chu Kang North 5, Choa Chu Kang, S(689621)</t>
  </si>
  <si>
    <t>River Valley High School</t>
  </si>
  <si>
    <t>6 Boon Lay Avenue, Jurong West, S(649961)</t>
  </si>
  <si>
    <t>235;56;73;88;157;159;163;231</t>
  </si>
  <si>
    <t>Riverside Primary School</t>
  </si>
  <si>
    <t>110 Woodlands Crescent, Woodlands, S(737803)</t>
  </si>
  <si>
    <t>98;98A;99;157;187;198;334;335;502</t>
  </si>
  <si>
    <t>Riverside Secondary School</t>
  </si>
  <si>
    <t>3 Woodlands Street 81, Woodlands, S(738524)</t>
  </si>
  <si>
    <t>30;154;157;172;174;174E;178;180;187;198</t>
  </si>
  <si>
    <t>Rivervale Primary School</t>
  </si>
  <si>
    <t>80 Rivervale Drive, Seng Kang, S(545092)</t>
  </si>
  <si>
    <t>3;17;18</t>
  </si>
  <si>
    <t>Rosyth School</t>
  </si>
  <si>
    <t>21 Serangoon North Avenue 4, Serangoon, S(555855)</t>
  </si>
  <si>
    <t>74;147;165;112</t>
  </si>
  <si>
    <t>Rulang Primary School</t>
  </si>
  <si>
    <t>6 Jurong West Street 52, Jurong West, S(649295)</t>
  </si>
  <si>
    <t>50;70;86;103;163;854</t>
  </si>
  <si>
    <t>School Of Science And Technology, Singapore</t>
  </si>
  <si>
    <t>1 Technology Drive, Clementi, S(138572)</t>
  </si>
  <si>
    <t>851;852;853;854;855</t>
  </si>
  <si>
    <t>School Of The Arts, Singapore</t>
  </si>
  <si>
    <t>1 Zubir Said Drive, Central, S(227968)</t>
  </si>
  <si>
    <t>14;16;32;33;51;63;64;120;122;145;139;186;851;970</t>
  </si>
  <si>
    <t>Sembawang Secondary School</t>
  </si>
  <si>
    <t>30 Sembawang Crescent, Sembawang, S(757704)</t>
  </si>
  <si>
    <t>856;911;912</t>
  </si>
  <si>
    <t>Seng Kang Primary School</t>
  </si>
  <si>
    <t>21 Compassvale Walk, Seng Kang, S(545166)</t>
  </si>
  <si>
    <t>Seng Kang Secondary School</t>
  </si>
  <si>
    <t>10 Compassvale Lane, Seng Kang, S(545090)</t>
  </si>
  <si>
    <t>190;307;975;982E;985</t>
  </si>
  <si>
    <t>Sengkang Green Primary SCHOOL</t>
  </si>
  <si>
    <t>15 Fernvale Road, Seng Kang, S(797636)</t>
  </si>
  <si>
    <t>74;74E;88;101;147;147A;161</t>
  </si>
  <si>
    <t>Serangoon Garden Secondary School</t>
  </si>
  <si>
    <t>21 Serangoon North Avenue 1, Serangoon, S(555889)</t>
  </si>
  <si>
    <t>913;911</t>
  </si>
  <si>
    <t>Serangoon Junior College</t>
  </si>
  <si>
    <t>1033 Upper Serangoon Road, Hougang, S(534768)</t>
  </si>
  <si>
    <t>980;167;169;800;811;812;965;969;858;856;859</t>
  </si>
  <si>
    <t>Serangoon Secondary School</t>
  </si>
  <si>
    <t>11 Upper Serangoon View, Hougang, S(534237)</t>
  </si>
  <si>
    <t>43;88;101;109;156;159;161;325;329</t>
  </si>
  <si>
    <t>Shuqun Primary School</t>
  </si>
  <si>
    <t>8 Jurong West Street 51, Jurong West, S(649332)</t>
  </si>
  <si>
    <t>8;61;65;66;100;135;154</t>
  </si>
  <si>
    <t>Shuqun Secondary School</t>
  </si>
  <si>
    <t>450 Jurong East Street 21, Jurong East, S(609604)</t>
  </si>
  <si>
    <t>190;985;975</t>
  </si>
  <si>
    <t>SI LING PRIMARY SCHOOL</t>
  </si>
  <si>
    <t>61 Woodlands Avenue 1, Woodlands, S(739067)</t>
  </si>
  <si>
    <t>3;9;12;17;19;21;28;29;37;81;293;518</t>
  </si>
  <si>
    <t>Singapore Chinese Girls' Primary School</t>
  </si>
  <si>
    <t>60 Dunearn Road, Novena, S(309434)</t>
  </si>
  <si>
    <t>980;856;859</t>
  </si>
  <si>
    <t>Singapore Chinese Girls' School</t>
  </si>
  <si>
    <t>190 Dunearn Road, Novena, S(309437)</t>
  </si>
  <si>
    <t>Singapore Sports School</t>
  </si>
  <si>
    <t>1 Champions Way, Woodlands, S(737913)</t>
  </si>
  <si>
    <t>39;53;81;89;109;359;403;518</t>
  </si>
  <si>
    <t>SOUTH VIEW PRIMARY SCHOOL</t>
  </si>
  <si>
    <t>6 Choa Chu Kang Central, Choa Chu Kang, S(689762)</t>
  </si>
  <si>
    <t>Spectra Secondary School</t>
  </si>
  <si>
    <t>1 Woodlands Drive 64, Woodlands, S(737758)</t>
  </si>
  <si>
    <t>13;52;54;74;74E;88;162;162M;588;410;851;852</t>
  </si>
  <si>
    <t>Springdale Primary School</t>
  </si>
  <si>
    <t>71 Anchorvale Link, Seng Kang, S(544799)</t>
  </si>
  <si>
    <t>913;913E;178;856;903</t>
  </si>
  <si>
    <t>Springfield Secondary School</t>
  </si>
  <si>
    <t>30 Tampines Avenue 8, Tampines, S(529593)</t>
  </si>
  <si>
    <t>98;98A;187;333;502;507;NR5</t>
  </si>
  <si>
    <t>St. Andrew'S Junior College</t>
  </si>
  <si>
    <t>5 Sorby Adams Drive, Toa Payoh, S(357691)</t>
  </si>
  <si>
    <t>15;55;36;16;135;197;196;31;13;76;12;10;14;32;40</t>
  </si>
  <si>
    <t>St. Andrew'S Junior School</t>
  </si>
  <si>
    <t>2 Francis Thomas Drive, Toa Payoh, S(359337)</t>
  </si>
  <si>
    <t>99;181;192;193;243;242;257;502;502A</t>
  </si>
  <si>
    <t>St. Andrew'S Secondary School</t>
  </si>
  <si>
    <t>15 Francis Thomas Drive, Toa Payoh, S(359342)</t>
  </si>
  <si>
    <t>167;169;171;800;811</t>
  </si>
  <si>
    <t>St. Anthony'S Canossian Primary School</t>
  </si>
  <si>
    <t>1602 Bedok North Ave 4, Bedok, S(469701)</t>
  </si>
  <si>
    <t>82;85;86;88;119;136;163;372</t>
  </si>
  <si>
    <t>St. Anthony'S Canossian Secondary School</t>
  </si>
  <si>
    <t>1600 Bedok North Avenue 4, Bedok, S(469700)</t>
  </si>
  <si>
    <t>85;102</t>
  </si>
  <si>
    <t>Nanyang Girls' High School</t>
  </si>
  <si>
    <t>2 Linden Drive, Bukit Timah, S(288683)</t>
  </si>
  <si>
    <t>St. Anthony'S Primary School</t>
  </si>
  <si>
    <t>30 Bukit Batok St 32, Bukit Batok, S(659401)</t>
  </si>
  <si>
    <t>08-08-2021</t>
  </si>
  <si>
    <t>St. Gabriel'S Primary School</t>
  </si>
  <si>
    <t>220 Lorong Chuan, Serangoon, S(556742)</t>
  </si>
  <si>
    <t>St. Gabriel'S Secondary School</t>
  </si>
  <si>
    <t>24 Serangoon Avenue 1, Serangoon, S(556140)</t>
  </si>
  <si>
    <t>62;74;102;113;119;136;147;324</t>
  </si>
  <si>
    <t>St. Hilda'S Primary School</t>
  </si>
  <si>
    <t>2 Tampines Ave 3, Tampines, S(529706)</t>
  </si>
  <si>
    <t>3;62;83</t>
  </si>
  <si>
    <t>St. Hilda'S Secondary School</t>
  </si>
  <si>
    <t>2 Tampines Street 82, Tampines, S(528986)</t>
  </si>
  <si>
    <t>187;856;912;925;950;960;961;963;963E;963R;966</t>
  </si>
  <si>
    <t>St. Joseph'S Institution</t>
  </si>
  <si>
    <t>38 Malcolm Road, Novena, S(308274)</t>
  </si>
  <si>
    <t>50;386</t>
  </si>
  <si>
    <t>St. Joseph'S Institution Junior</t>
  </si>
  <si>
    <t>3 Essex Road, Novena, S(309331)</t>
  </si>
  <si>
    <t>13;16;31;36;43;48;55;134;196;197</t>
  </si>
  <si>
    <t>St. Margaret'S Primary School</t>
  </si>
  <si>
    <t>99 Wilkie Road, Central, S(228091)</t>
  </si>
  <si>
    <t>9;38;5</t>
  </si>
  <si>
    <t>St. Margaret'S Secondary School</t>
  </si>
  <si>
    <t>111 Farrer Road, Bukit Timah, S(259240)</t>
  </si>
  <si>
    <t>St. Patrick'S School</t>
  </si>
  <si>
    <t>490 East Coast Road, Bedok, S(429058)</t>
  </si>
  <si>
    <t>75;184</t>
  </si>
  <si>
    <t>St. Stephen'S School</t>
  </si>
  <si>
    <t>20 Siglap View, Bedok, S(455789)</t>
  </si>
  <si>
    <t>157;185</t>
  </si>
  <si>
    <t>STAMFORD PRIMARY SCHOOL</t>
  </si>
  <si>
    <t>1 Fernvale Lane, Seng Kang, S(797701)</t>
  </si>
  <si>
    <t>30;51;143;175;176;201;282</t>
  </si>
  <si>
    <t>Stamford Primary School</t>
  </si>
  <si>
    <t>1 Victoria Lane, Central, S(198423)</t>
  </si>
  <si>
    <t>67;75;170;171;176;178;184;961;963;970</t>
  </si>
  <si>
    <t>Swiss Cottage Secondary School</t>
  </si>
  <si>
    <t>3 Bukit Batok Street 34, Bukit Batok, S(659322)</t>
  </si>
  <si>
    <t>141;235</t>
  </si>
  <si>
    <t>Tampines North Primary School</t>
  </si>
  <si>
    <t>30 Tampines Avenue 9, Tampines, S(529565)</t>
  </si>
  <si>
    <t>30;49;98;98A;154;240;246</t>
  </si>
  <si>
    <t>Tampines Primary School</t>
  </si>
  <si>
    <t>250 Tampines Street 12, Tampines, S(529426)</t>
  </si>
  <si>
    <t>98;187;335</t>
  </si>
  <si>
    <t>TAMPINES SECONDARY SCHOOL</t>
  </si>
  <si>
    <t>252 Tampines St 12, Tampines, S(529427)</t>
  </si>
  <si>
    <t>Tanglin Secondary School</t>
  </si>
  <si>
    <t>301 West Coast Road, Clementi, S(127391)</t>
  </si>
  <si>
    <t>27;43;109;156;159;161;163;163M;550</t>
  </si>
  <si>
    <t>Tanjong Katong Girls' School</t>
  </si>
  <si>
    <t>2 Bedok South Road, Marine Parade, S(469268)</t>
  </si>
  <si>
    <t>50;82;86;88;119;136</t>
  </si>
  <si>
    <t>Tanjong Katong Primary SCHOOL</t>
  </si>
  <si>
    <t>860 New Upper Changi Road, Marine Parade, S(467353)</t>
  </si>
  <si>
    <t>900A;901</t>
  </si>
  <si>
    <t>Tanjong Katong Secondary School</t>
  </si>
  <si>
    <t>130 Haig Road, Marine Parade, S(438796)</t>
  </si>
  <si>
    <t>291;28</t>
  </si>
  <si>
    <t>Tao Nan School</t>
  </si>
  <si>
    <t>49 Marine Crescent, Marine Parade, S(449761)</t>
  </si>
  <si>
    <t>Teck Ghee Primary School</t>
  </si>
  <si>
    <t>1 Ang Mo Kio Street 32, Ang Mo Kio, S(569299)</t>
  </si>
  <si>
    <t>52;98;98M;105;176;183;187;188;188R;333;502</t>
  </si>
  <si>
    <t>TECK WHYE PRIMARY SCHOOL</t>
  </si>
  <si>
    <t>11 Teck Whye Walk, Choa Chu Kang, S(688261)</t>
  </si>
  <si>
    <t>66;157;174;174E;178;188;506;941</t>
  </si>
  <si>
    <t>Teck Whye Secondary School</t>
  </si>
  <si>
    <t>31 Teck Whye Crescent, Choa Chu Kang, S(688848)</t>
  </si>
  <si>
    <t>8;13;26;31;90;90A;107;133;142;147;853;NR6</t>
  </si>
  <si>
    <t>Telok Kurau Primary School</t>
  </si>
  <si>
    <t>50 Bedok Reservoir Rd, Bedok, S(479239)</t>
  </si>
  <si>
    <t>8;10;17;18;27;31;65;292;293</t>
  </si>
  <si>
    <t>Temasek Junior College</t>
  </si>
  <si>
    <t>22 Bedok South Road, Bedok, S(469278)</t>
  </si>
  <si>
    <t>Temasek Primary School</t>
  </si>
  <si>
    <t>501 Bedok South Ave 3, Bedok, S(469300)</t>
  </si>
  <si>
    <t>32;111;145;195</t>
  </si>
  <si>
    <t>TEMASEK SECONDARY SCHOOL</t>
  </si>
  <si>
    <t>600 Upper East Coast Road, Bedok, S(465561)</t>
  </si>
  <si>
    <t>410;13;50;52;53;54;55;56;57;58;59;74;88;93;128;130;132;156;157;162;163;165;166;167;851;852;855;980</t>
  </si>
  <si>
    <t>Townsville Primary School</t>
  </si>
  <si>
    <t>3 Ang Mo Kio Ave 10, Ang Mo Kio, S(569730)</t>
  </si>
  <si>
    <t>12;17;21;39;53;81;518;109</t>
  </si>
  <si>
    <t>Unity Primary School</t>
  </si>
  <si>
    <t>21 Choa Chu Kang Crescent, Choa Chu Kang, S(688268)</t>
  </si>
  <si>
    <t>21;125;130;139;145;13;23;31;64;65;133;147;857;985</t>
  </si>
  <si>
    <t>Unity Secondary School</t>
  </si>
  <si>
    <t>20 Choa Chu Kang Street 62, Choa Chu Kang, S(689143)</t>
  </si>
  <si>
    <t>970;852;174;173;157;77;61</t>
  </si>
  <si>
    <t>VICTORIA JUNIOR COLLEGE</t>
  </si>
  <si>
    <t>20 Marine Vista, Bedok, S(449035)</t>
  </si>
  <si>
    <t>Victoria School</t>
  </si>
  <si>
    <t>2 Siglap Link, Bedok, S(448880)</t>
  </si>
  <si>
    <t>410;162;52</t>
  </si>
  <si>
    <t>Waterway Primary School</t>
  </si>
  <si>
    <t>70 Punggol Drive, Punggol, S(828802)</t>
  </si>
  <si>
    <t>173;189;990</t>
  </si>
  <si>
    <t>Wellington Primary School</t>
  </si>
  <si>
    <t>10 Wellington Circle, Sembawang, S(757702)</t>
  </si>
  <si>
    <t>59;141;231</t>
  </si>
  <si>
    <t>West Grove Primary School</t>
  </si>
  <si>
    <t>1 Jurong West St 72, Jurong West, S(649223)</t>
  </si>
  <si>
    <t>913;964</t>
  </si>
  <si>
    <t>West Spring Secondary School</t>
  </si>
  <si>
    <t>61 Senja  Road, Bukit Panjang, S(677737)</t>
  </si>
  <si>
    <t>59;231;141</t>
  </si>
  <si>
    <t>West View Primary School</t>
  </si>
  <si>
    <t>31 Senja Road, Bukit Panjang, S(677742)</t>
  </si>
  <si>
    <t>48;66;67;170;171;700;960</t>
  </si>
  <si>
    <t>Westwood Primary School</t>
  </si>
  <si>
    <t>1 Jurong West Street 73, Jurong West, S(649188)</t>
  </si>
  <si>
    <t>975;190;985</t>
  </si>
  <si>
    <t>Westwood Secondary School</t>
  </si>
  <si>
    <t>11 Jurong West Street 25, Jurong West, S(648350)</t>
  </si>
  <si>
    <t>White Sands Primary School</t>
  </si>
  <si>
    <t>2 Pasir Ris St 11, Pasir Ris, S(519075)</t>
  </si>
  <si>
    <t>30;51;78;143;285</t>
  </si>
  <si>
    <t>Whitley Secondary School</t>
  </si>
  <si>
    <t>30 Bishan Street 24, Bishan, S(579747)</t>
  </si>
  <si>
    <t>85;372;2</t>
  </si>
  <si>
    <t>Woodgrove Primary School</t>
  </si>
  <si>
    <t>2 Woodlands Drive 14, Woodlands, S(738079)</t>
  </si>
  <si>
    <t>Woodgrove Secondary School</t>
  </si>
  <si>
    <t>3 Woodlands Avenue 6, Woodlands, S(738990)</t>
  </si>
  <si>
    <t>Woodlands Primary School</t>
  </si>
  <si>
    <t>10 Woodlands Drive 50, Woodlands, S(738853)</t>
  </si>
  <si>
    <t>Woodlands Ring Primary School</t>
  </si>
  <si>
    <t>11 Woodlands Ring Road, Woodlands, S(738240)</t>
  </si>
  <si>
    <t>Woodlands Ring Secondary School</t>
  </si>
  <si>
    <t>10 Woodlands Ring Road, Woodlands, S(738239)</t>
  </si>
  <si>
    <t>7;61;75;156;157;165;92</t>
  </si>
  <si>
    <t>Woodlands Secondary School</t>
  </si>
  <si>
    <t>11 Marsiling Road, Woodlands, S(739111)</t>
  </si>
  <si>
    <t>172;181;185;199</t>
  </si>
  <si>
    <t>Xinghua Primary School</t>
  </si>
  <si>
    <t>45 Hougang Avenue 1, Hougang, S(538882)</t>
  </si>
  <si>
    <t>10;16;30;31;32;33</t>
  </si>
  <si>
    <t>Xingnan Primary School</t>
  </si>
  <si>
    <t>5 Jurong West Street 91, Jurong West, S(649036)</t>
  </si>
  <si>
    <t>13;45;86;138;162;269;851;852;853</t>
  </si>
  <si>
    <t>Xinmin Primary School</t>
  </si>
  <si>
    <t>9 Hougang Avenue 8, Hougang, S(538784)</t>
  </si>
  <si>
    <t>3;62;83;85;389</t>
  </si>
  <si>
    <t>Xinmin Secondary School</t>
  </si>
  <si>
    <t>11 Hougang Avenue 8, Hougang, S(538789)</t>
  </si>
  <si>
    <t>99;242</t>
  </si>
  <si>
    <t>Xishan Primary School</t>
  </si>
  <si>
    <t>8 Yishun Street 21, Yishun, S(768611)</t>
  </si>
  <si>
    <t>174;157;178;66;941</t>
  </si>
  <si>
    <t>Yangzheng Primary School</t>
  </si>
  <si>
    <t>15 Serangoon Avenue 3, Serangoon, S(556108)</t>
  </si>
  <si>
    <t>965;964;913</t>
  </si>
  <si>
    <t>Yew Tee Primary School</t>
  </si>
  <si>
    <t>10 Choa Chu Kang St 64, Choa Chu Kang, S(689100)</t>
  </si>
  <si>
    <t>Yio Chu Kang Primary School</t>
  </si>
  <si>
    <t>1 Hougang Street 51, Hougang, S(538720)</t>
  </si>
  <si>
    <t>2;9;12;24;31;34;38</t>
  </si>
  <si>
    <t>Yio Chu Kang Secondary School</t>
  </si>
  <si>
    <t>3063 Ang Mo Kio Avenue 5, Ang Mo Kio, S(569868)</t>
  </si>
  <si>
    <t>Yishun Junior College</t>
  </si>
  <si>
    <t>3 Yishun Ring Road, Yishun, S(768675)</t>
  </si>
  <si>
    <t>900;901</t>
  </si>
  <si>
    <t>Yishun Primary School</t>
  </si>
  <si>
    <t>500 Yishun Ring Road, Yishun, S(768679)</t>
  </si>
  <si>
    <t>358;39;53;81;89</t>
  </si>
  <si>
    <t>Yishun Secondary School</t>
  </si>
  <si>
    <t>4 Yishun Street 71, Yishun, S(768516)</t>
  </si>
  <si>
    <t>6;8;10;15;18;21;22;23;27;28;31</t>
  </si>
  <si>
    <t>Yishun Town Secondary School</t>
  </si>
  <si>
    <t>6 Yishun Street 21, Yishun, S(768610)</t>
  </si>
  <si>
    <t>10;12;14;32;40;608;16;196;197;31;36;76;135</t>
  </si>
  <si>
    <t>Yu Neng Primary School</t>
  </si>
  <si>
    <t>56 Bedok North St 3, Bedok, S(469623)</t>
  </si>
  <si>
    <t>12;21;39;53;81;359;351</t>
  </si>
  <si>
    <t>Yuan Ching Secondary School</t>
  </si>
  <si>
    <t>103 Yuan Ching Road, Jurong West, S(618654)</t>
  </si>
  <si>
    <t>13;23;31;64;65;66;125;133;147;857;21;130;139;145</t>
  </si>
  <si>
    <t>Yuhua Primary School</t>
  </si>
  <si>
    <t>158 Jurong East Street 24, Jurong East, S(609558)</t>
  </si>
  <si>
    <t>3;5;6;12;17;21;89;354;358</t>
  </si>
  <si>
    <t>Yumin Primary School</t>
  </si>
  <si>
    <t>3 Tampines Street 21, Tampines, S(529393)</t>
  </si>
  <si>
    <t>163;70;86;103;854;50</t>
  </si>
  <si>
    <t>Yusof Ishak Secondary School</t>
  </si>
  <si>
    <t>11 Bukit Batok Street 25, Bukit Batok, S(658712)</t>
  </si>
  <si>
    <t>811;804;800</t>
  </si>
  <si>
    <t>Yuying Secondary School</t>
  </si>
  <si>
    <t>47 Hougang Avenue 1, Hougang, S(538884)</t>
  </si>
  <si>
    <t>14;33;52;78;96;97;105;106;147;151;154;165;166;183;185;188;189;196;197;198;282;285;963</t>
  </si>
  <si>
    <t>Zhangde Primary School</t>
  </si>
  <si>
    <t>51 Jalan Membina, Bukit Merah, S(169485)</t>
  </si>
  <si>
    <t>Zhenghua Primary School</t>
  </si>
  <si>
    <t>9 Fajar Road, Bukit Panjang, S(679002)</t>
  </si>
  <si>
    <t>51;139;186;970</t>
  </si>
  <si>
    <t>Zhenghua Secondary School</t>
  </si>
  <si>
    <t>91 Senja Road, Bukit Panjang, S(677741)</t>
  </si>
  <si>
    <t>5;16;32;54;65;75;175;970</t>
  </si>
  <si>
    <t>Zhonghua Secondary School</t>
  </si>
  <si>
    <t>13 Serangoon Avenue 3, Serangoon, S(556123)</t>
  </si>
  <si>
    <t>13;23;31;64;65;66;125;133;140;147;857;985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</si>
</sst>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1009]mmmm\ d\,\ yy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176" fontId="0" fillId="0" borderId="0" xfId="0" applyNumberFormat="1" applyFont="1" applyAlignme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2"/>
  <sheetViews>
    <sheetView tabSelected="1" workbookViewId="0">
      <selection activeCell="E12" sqref="E12"/>
    </sheetView>
  </sheetViews>
  <sheetFormatPr defaultColWidth="14.4296875" defaultRowHeight="15" customHeight="1"/>
  <cols>
    <col min="1" max="3" width="35.4296875" customWidth="1"/>
    <col min="4" max="4" width="9.140625" customWidth="1"/>
    <col min="5" max="5" width="50.875" customWidth="1"/>
    <col min="6" max="6" width="23.7109375" customWidth="1"/>
    <col min="7" max="7" width="65.859375" customWidth="1"/>
    <col min="8" max="8" width="19.7109375" customWidth="1"/>
    <col min="9" max="9" width="17.375" style="1" customWidth="1"/>
    <col min="10" max="31" width="8.7109375" customWidth="1"/>
  </cols>
  <sheetData>
    <row r="1" ht="14.2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t="s">
        <v>9</v>
      </c>
      <c r="K1" t="s">
        <v>10</v>
      </c>
    </row>
    <row r="2" ht="14.25" customHeight="1" spans="1:11">
      <c r="A2" s="2" t="s">
        <v>11</v>
      </c>
      <c r="B2" s="2" t="str">
        <f>TRIM(A2)</f>
        <v>West Spring Primary School</v>
      </c>
      <c r="C2" s="2" t="str">
        <f>PROPER(B2)</f>
        <v>West Spring Primary School</v>
      </c>
      <c r="D2" s="2" t="s">
        <v>12</v>
      </c>
      <c r="E2" s="2" t="s">
        <v>13</v>
      </c>
      <c r="F2" s="2" t="s">
        <v>14</v>
      </c>
      <c r="G2" s="2" t="s">
        <v>15</v>
      </c>
      <c r="I2"/>
      <c r="J2">
        <f>COUNTIF($A$2:A2,A2)</f>
        <v>1</v>
      </c>
      <c r="K2">
        <f>COUNTIFS($A$2:A2,A2,$D$2:D2,D2)</f>
        <v>1</v>
      </c>
    </row>
    <row r="3" ht="14.25" customHeight="1" spans="1:11">
      <c r="A3" s="2" t="s">
        <v>16</v>
      </c>
      <c r="B3" s="2" t="str">
        <f>TRIM(A3)</f>
        <v>Changkat Primary School</v>
      </c>
      <c r="C3" s="2" t="str">
        <f t="shared" ref="C3:C66" si="0">PROPER(B3)</f>
        <v>Changkat Primary School</v>
      </c>
      <c r="D3" s="2" t="s">
        <v>17</v>
      </c>
      <c r="E3" s="2" t="s">
        <v>18</v>
      </c>
      <c r="F3" s="2" t="s">
        <v>14</v>
      </c>
      <c r="G3" s="2">
        <v>42</v>
      </c>
      <c r="I3"/>
      <c r="J3">
        <f>COUNTIF($A$2:A3,A3)</f>
        <v>1</v>
      </c>
      <c r="K3">
        <f>COUNTIFS($A$2:A3,A3,$D$2:D3,D3)</f>
        <v>1</v>
      </c>
    </row>
    <row r="4" ht="14.25" customHeight="1" spans="1:11">
      <c r="A4" s="2" t="s">
        <v>19</v>
      </c>
      <c r="B4" s="2" t="str">
        <f>TRIM(A4)</f>
        <v>SEMBAWANG PRIMARY SCHOOL</v>
      </c>
      <c r="C4" s="2" t="str">
        <f t="shared" si="0"/>
        <v>Sembawang Primary School</v>
      </c>
      <c r="D4" s="2" t="s">
        <v>20</v>
      </c>
      <c r="E4" s="2" t="s">
        <v>21</v>
      </c>
      <c r="F4" s="2" t="s">
        <v>14</v>
      </c>
      <c r="G4" s="2" t="s">
        <v>22</v>
      </c>
      <c r="I4"/>
      <c r="J4">
        <f>COUNTIF($A$2:A4,A4)</f>
        <v>1</v>
      </c>
      <c r="K4">
        <f>COUNTIFS($A$2:A4,A4,$D$2:D4,D4)</f>
        <v>1</v>
      </c>
    </row>
    <row r="5" ht="14.25" customHeight="1" spans="1:11">
      <c r="A5" s="2" t="s">
        <v>23</v>
      </c>
      <c r="B5" s="2" t="str">
        <f>TRIM(A5)</f>
        <v>JURONG WEST PRIMARY SCHOOL</v>
      </c>
      <c r="C5" s="2" t="str">
        <f t="shared" si="0"/>
        <v>Jurong West Primary School</v>
      </c>
      <c r="D5" s="2" t="s">
        <v>12</v>
      </c>
      <c r="E5" s="2" t="s">
        <v>24</v>
      </c>
      <c r="F5" s="2" t="s">
        <v>14</v>
      </c>
      <c r="G5" s="2" t="s">
        <v>25</v>
      </c>
      <c r="I5"/>
      <c r="J5">
        <f>COUNTIF($A$2:A5,A5)</f>
        <v>1</v>
      </c>
      <c r="K5">
        <f>COUNTIFS($A$2:A5,A5,$D$2:D5,D5)</f>
        <v>1</v>
      </c>
    </row>
    <row r="6" ht="14.25" customHeight="1" spans="1:11">
      <c r="A6" s="2" t="s">
        <v>26</v>
      </c>
      <c r="B6" s="2" t="str">
        <f>TRIM(A6)</f>
        <v>Jiemin Primary School</v>
      </c>
      <c r="C6" s="2" t="str">
        <f t="shared" si="0"/>
        <v>Jiemin Primary School</v>
      </c>
      <c r="D6" s="2" t="s">
        <v>20</v>
      </c>
      <c r="E6" s="2" t="s">
        <v>27</v>
      </c>
      <c r="F6" s="2" t="s">
        <v>14</v>
      </c>
      <c r="G6" s="2" t="s">
        <v>28</v>
      </c>
      <c r="I6"/>
      <c r="J6">
        <f>COUNTIF($A$2:A6,A6)</f>
        <v>1</v>
      </c>
      <c r="K6">
        <f>COUNTIFS($A$2:A6,A6,$D$2:D6,D6)</f>
        <v>1</v>
      </c>
    </row>
    <row r="7" ht="14.25" customHeight="1" spans="1:11">
      <c r="A7" s="2" t="s">
        <v>29</v>
      </c>
      <c r="B7" s="2" t="str">
        <f>TRIM(A7)</f>
        <v>Beatty Secondary SCHOOL</v>
      </c>
      <c r="C7" s="2" t="str">
        <f t="shared" si="0"/>
        <v>Beatty Secondary School</v>
      </c>
      <c r="D7" s="2" t="s">
        <v>30</v>
      </c>
      <c r="E7" s="2" t="s">
        <v>31</v>
      </c>
      <c r="F7" s="2" t="s">
        <v>32</v>
      </c>
      <c r="G7" s="2" t="s">
        <v>33</v>
      </c>
      <c r="I7"/>
      <c r="J7">
        <f>COUNTIF($A$2:A7,A7)</f>
        <v>1</v>
      </c>
      <c r="K7">
        <f>COUNTIFS($A$2:A7,A7,$D$2:D7,D7)</f>
        <v>1</v>
      </c>
    </row>
    <row r="8" ht="14.25" customHeight="1" spans="1:11">
      <c r="A8" s="2" t="s">
        <v>34</v>
      </c>
      <c r="B8" s="2" t="str">
        <f>TRIM(A8)</f>
        <v>balestier hill primary school</v>
      </c>
      <c r="C8" s="2" t="str">
        <f t="shared" si="0"/>
        <v>Balestier Hill Primary School</v>
      </c>
      <c r="D8" s="2" t="s">
        <v>30</v>
      </c>
      <c r="E8" s="2" t="s">
        <v>35</v>
      </c>
      <c r="F8" s="2" t="s">
        <v>14</v>
      </c>
      <c r="G8" s="2" t="s">
        <v>36</v>
      </c>
      <c r="I8"/>
      <c r="J8">
        <f>COUNTIF($A$2:A8,A8)</f>
        <v>1</v>
      </c>
      <c r="K8">
        <f>COUNTIFS($A$2:A8,A8,$D$2:D8,D8)</f>
        <v>1</v>
      </c>
    </row>
    <row r="9" ht="14.25" customHeight="1" spans="1:11">
      <c r="A9" s="2" t="s">
        <v>37</v>
      </c>
      <c r="B9" s="2" t="str">
        <f>TRIM(A9)</f>
        <v>bukit view primary school</v>
      </c>
      <c r="C9" s="2" t="str">
        <f t="shared" si="0"/>
        <v>Bukit View Primary School</v>
      </c>
      <c r="D9" s="2" t="s">
        <v>12</v>
      </c>
      <c r="E9" s="2" t="s">
        <v>38</v>
      </c>
      <c r="F9" s="2" t="s">
        <v>14</v>
      </c>
      <c r="G9" s="2" t="s">
        <v>39</v>
      </c>
      <c r="I9"/>
      <c r="J9">
        <f>COUNTIF($A$2:A9,A9)</f>
        <v>1</v>
      </c>
      <c r="K9">
        <f>COUNTIFS($A$2:A9,A9,$D$2:D9,D9)</f>
        <v>1</v>
      </c>
    </row>
    <row r="10" ht="14.25" customHeight="1" spans="1:11">
      <c r="A10" s="2" t="s">
        <v>40</v>
      </c>
      <c r="B10" s="2" t="str">
        <f>TRIM(A10)</f>
        <v>cedar primary school</v>
      </c>
      <c r="C10" s="2" t="str">
        <f t="shared" si="0"/>
        <v>Cedar Primary School</v>
      </c>
      <c r="D10" s="2" t="s">
        <v>30</v>
      </c>
      <c r="E10" s="2" t="s">
        <v>41</v>
      </c>
      <c r="F10" s="2" t="s">
        <v>14</v>
      </c>
      <c r="G10" s="2" t="s">
        <v>42</v>
      </c>
      <c r="I10"/>
      <c r="J10">
        <f>COUNTIF($A$2:A10,A10)</f>
        <v>1</v>
      </c>
      <c r="K10">
        <f>COUNTIFS($A$2:A10,A10,$D$2:D10,D10)</f>
        <v>1</v>
      </c>
    </row>
    <row r="11" ht="14.25" customHeight="1" spans="1:11">
      <c r="A11" s="2" t="s">
        <v>43</v>
      </c>
      <c r="B11" s="2" t="str">
        <f>TRIM(A11)</f>
        <v>damai primary school</v>
      </c>
      <c r="C11" s="2" t="str">
        <f t="shared" si="0"/>
        <v>Damai Primary School</v>
      </c>
      <c r="D11" s="2" t="s">
        <v>17</v>
      </c>
      <c r="E11" s="2" t="s">
        <v>44</v>
      </c>
      <c r="F11" s="2" t="s">
        <v>14</v>
      </c>
      <c r="G11" s="2" t="s">
        <v>45</v>
      </c>
      <c r="I11"/>
      <c r="J11">
        <f>COUNTIF($A$2:A11,A11)</f>
        <v>1</v>
      </c>
      <c r="K11">
        <f>COUNTIFS($A$2:A11,A11,$D$2:D11,D11)</f>
        <v>1</v>
      </c>
    </row>
    <row r="12" ht="14.25" customHeight="1" spans="1:11">
      <c r="A12" s="2" t="s">
        <v>46</v>
      </c>
      <c r="B12" s="2" t="str">
        <f>TRIM(A12)</f>
        <v>hougang primary school</v>
      </c>
      <c r="C12" s="2" t="str">
        <f t="shared" si="0"/>
        <v>Hougang Primary School</v>
      </c>
      <c r="D12" s="2" t="s">
        <v>20</v>
      </c>
      <c r="E12" s="2" t="s">
        <v>47</v>
      </c>
      <c r="F12" s="2" t="s">
        <v>14</v>
      </c>
      <c r="G12" s="2" t="s">
        <v>48</v>
      </c>
      <c r="I12"/>
      <c r="J12">
        <f>COUNTIF($A$2:A12,A12)</f>
        <v>1</v>
      </c>
      <c r="K12">
        <f>COUNTIFS($A$2:A12,A12,$D$2:D12,D12)</f>
        <v>1</v>
      </c>
    </row>
    <row r="13" ht="14.25" customHeight="1" spans="1:11">
      <c r="A13" s="2" t="s">
        <v>49</v>
      </c>
      <c r="B13" s="2" t="str">
        <f>TRIM(A13)</f>
        <v>opera estate primary school</v>
      </c>
      <c r="C13" s="2" t="str">
        <f t="shared" si="0"/>
        <v>Opera Estate Primary School</v>
      </c>
      <c r="D13" s="2" t="s">
        <v>17</v>
      </c>
      <c r="E13" s="2" t="s">
        <v>50</v>
      </c>
      <c r="F13" s="2" t="s">
        <v>14</v>
      </c>
      <c r="G13" s="2" t="s">
        <v>51</v>
      </c>
      <c r="I13"/>
      <c r="J13">
        <f>COUNTIF($A$2:A13,A13)</f>
        <v>1</v>
      </c>
      <c r="K13">
        <f>COUNTIFS($A$2:A13,A13,$D$2:D13,D13)</f>
        <v>1</v>
      </c>
    </row>
    <row r="14" ht="14.25" customHeight="1" spans="1:11">
      <c r="A14" s="2" t="s">
        <v>52</v>
      </c>
      <c r="B14" s="2" t="str">
        <f>TRIM(A14)</f>
        <v>palm view primary school</v>
      </c>
      <c r="C14" s="2" t="str">
        <f t="shared" si="0"/>
        <v>Palm View Primary School</v>
      </c>
      <c r="D14" s="2" t="s">
        <v>20</v>
      </c>
      <c r="E14" s="2" t="s">
        <v>53</v>
      </c>
      <c r="F14" s="2" t="s">
        <v>14</v>
      </c>
      <c r="G14" s="2" t="s">
        <v>54</v>
      </c>
      <c r="I14"/>
      <c r="J14">
        <f>COUNTIF($A$2:A14,A14)</f>
        <v>1</v>
      </c>
      <c r="K14">
        <f>COUNTIFS($A$2:A14,A14,$D$2:D14,D14)</f>
        <v>1</v>
      </c>
    </row>
    <row r="15" ht="14.25" customHeight="1" spans="1:11">
      <c r="A15" s="2" t="s">
        <v>55</v>
      </c>
      <c r="B15" s="2" t="str">
        <f>TRIM(A15)</f>
        <v>pioneer junior college</v>
      </c>
      <c r="C15" s="2" t="str">
        <f t="shared" si="0"/>
        <v>Pioneer Junior College</v>
      </c>
      <c r="D15" s="2" t="s">
        <v>12</v>
      </c>
      <c r="E15" s="2" t="s">
        <v>56</v>
      </c>
      <c r="F15" s="2" t="s">
        <v>57</v>
      </c>
      <c r="G15" s="2" t="s">
        <v>58</v>
      </c>
      <c r="I15"/>
      <c r="J15">
        <f>COUNTIF($A$2:A15,A15)</f>
        <v>1</v>
      </c>
      <c r="K15">
        <f>COUNTIFS($A$2:A15,A15,$D$2:D15,D15)</f>
        <v>1</v>
      </c>
    </row>
    <row r="16" ht="14.25" customHeight="1" spans="1:11">
      <c r="A16" s="2" t="s">
        <v>59</v>
      </c>
      <c r="B16" s="2" t="str">
        <f>TRIM(A16)</f>
        <v>river valley primary school</v>
      </c>
      <c r="C16" s="2" t="str">
        <f t="shared" si="0"/>
        <v>River Valley Primary School</v>
      </c>
      <c r="D16" s="2" t="s">
        <v>30</v>
      </c>
      <c r="E16" s="2" t="s">
        <v>60</v>
      </c>
      <c r="F16" s="2" t="s">
        <v>14</v>
      </c>
      <c r="G16" s="2" t="s">
        <v>61</v>
      </c>
      <c r="I16"/>
      <c r="J16">
        <f>COUNTIF($A$2:A16,A16)</f>
        <v>1</v>
      </c>
      <c r="K16">
        <f>COUNTIFS($A$2:A16,A16,$D$2:D16,D16)</f>
        <v>1</v>
      </c>
    </row>
    <row r="17" ht="14.25" customHeight="1" spans="1:11">
      <c r="A17" s="2" t="s">
        <v>62</v>
      </c>
      <c r="B17" s="2" t="str">
        <f>TRIM(A17)</f>
        <v>tampines junior college</v>
      </c>
      <c r="C17" s="2" t="str">
        <f t="shared" si="0"/>
        <v>Tampines Junior College</v>
      </c>
      <c r="D17" s="2" t="s">
        <v>17</v>
      </c>
      <c r="E17" s="2" t="s">
        <v>63</v>
      </c>
      <c r="F17" s="2" t="s">
        <v>57</v>
      </c>
      <c r="I17"/>
      <c r="J17">
        <f>COUNTIF($A$2:A17,A17)</f>
        <v>1</v>
      </c>
      <c r="K17">
        <f>COUNTIFS($A$2:A17,A17,$D$2:D17,D17)</f>
        <v>1</v>
      </c>
    </row>
    <row r="18" ht="14.25" customHeight="1" spans="1:11">
      <c r="A18" s="2" t="s">
        <v>64</v>
      </c>
      <c r="B18" s="2" t="str">
        <f>TRIM(A18)</f>
        <v>yuhua secondary school</v>
      </c>
      <c r="C18" s="2" t="str">
        <f t="shared" si="0"/>
        <v>Yuhua Secondary School</v>
      </c>
      <c r="D18" s="2" t="s">
        <v>12</v>
      </c>
      <c r="E18" s="2" t="s">
        <v>65</v>
      </c>
      <c r="F18" s="2" t="s">
        <v>32</v>
      </c>
      <c r="G18" s="2" t="s">
        <v>66</v>
      </c>
      <c r="I18"/>
      <c r="J18">
        <f>COUNTIF($A$2:A18,A18)</f>
        <v>1</v>
      </c>
      <c r="K18">
        <f>COUNTIFS($A$2:A18,A18,$D$2:D18,D18)</f>
        <v>1</v>
      </c>
    </row>
    <row r="19" ht="14.25" customHeight="1" spans="1:11">
      <c r="A19" s="2" t="s">
        <v>67</v>
      </c>
      <c r="B19" s="2" t="str">
        <f>TRIM(A19)</f>
        <v>zhonghua primary school</v>
      </c>
      <c r="C19" s="2" t="str">
        <f t="shared" si="0"/>
        <v>Zhonghua Primary School</v>
      </c>
      <c r="D19" s="2" t="s">
        <v>30</v>
      </c>
      <c r="E19" s="2" t="s">
        <v>68</v>
      </c>
      <c r="F19" s="2" t="s">
        <v>14</v>
      </c>
      <c r="G19" s="2" t="s">
        <v>69</v>
      </c>
      <c r="I19"/>
      <c r="J19">
        <f>COUNTIF($A$2:A19,A19)</f>
        <v>1</v>
      </c>
      <c r="K19">
        <f>COUNTIFS($A$2:A19,A19,$D$2:D19,D19)</f>
        <v>1</v>
      </c>
    </row>
    <row r="20" ht="14.25" customHeight="1" spans="1:11">
      <c r="A20" s="2" t="s">
        <v>70</v>
      </c>
      <c r="B20" s="2" t="str">
        <f>TRIM(A20)</f>
        <v>Admiralty Primary School</v>
      </c>
      <c r="C20" s="2" t="str">
        <f t="shared" si="0"/>
        <v>Admiralty Primary School</v>
      </c>
      <c r="D20" s="2" t="s">
        <v>20</v>
      </c>
      <c r="E20" s="2" t="s">
        <v>71</v>
      </c>
      <c r="F20" s="2" t="s">
        <v>14</v>
      </c>
      <c r="G20" s="2" t="s">
        <v>72</v>
      </c>
      <c r="I20"/>
      <c r="J20">
        <f>COUNTIF($A$2:A20,A20)</f>
        <v>1</v>
      </c>
      <c r="K20">
        <f>COUNTIFS($A$2:A20,A20,$D$2:D20,D20)</f>
        <v>1</v>
      </c>
    </row>
    <row r="21" ht="14.25" customHeight="1" spans="1:11">
      <c r="A21" s="2" t="s">
        <v>73</v>
      </c>
      <c r="B21" s="2" t="str">
        <f>TRIM(A21)</f>
        <v>Admiralty Secondary School</v>
      </c>
      <c r="C21" s="2" t="str">
        <f t="shared" si="0"/>
        <v>Admiralty Secondary School</v>
      </c>
      <c r="D21" s="2" t="s">
        <v>20</v>
      </c>
      <c r="E21" s="2" t="s">
        <v>74</v>
      </c>
      <c r="F21" s="2" t="s">
        <v>75</v>
      </c>
      <c r="G21" s="2">
        <v>904</v>
      </c>
      <c r="H21" s="3" t="s">
        <v>76</v>
      </c>
      <c r="I21" s="1">
        <f>DATEVALUE(H21)</f>
        <v>45178</v>
      </c>
      <c r="J21">
        <f>COUNTIF($A$2:A21,A21)</f>
        <v>1</v>
      </c>
      <c r="K21">
        <f>COUNTIFS($A$2:A21,A21,$D$2:D21,D21)</f>
        <v>1</v>
      </c>
    </row>
    <row r="22" ht="14.25" customHeight="1" spans="1:11">
      <c r="A22" s="2" t="s">
        <v>77</v>
      </c>
      <c r="B22" s="2" t="str">
        <f>TRIM(A22)</f>
        <v>Ahmad Ibrahim Primary School</v>
      </c>
      <c r="C22" s="2" t="str">
        <f t="shared" si="0"/>
        <v>Ahmad Ibrahim Primary School</v>
      </c>
      <c r="D22" s="2" t="s">
        <v>20</v>
      </c>
      <c r="E22" s="2" t="s">
        <v>78</v>
      </c>
      <c r="F22" s="2" t="s">
        <v>14</v>
      </c>
      <c r="G22" s="2" t="s">
        <v>79</v>
      </c>
      <c r="I22"/>
      <c r="J22">
        <f>COUNTIF($A$2:A22,A22)</f>
        <v>1</v>
      </c>
      <c r="K22">
        <f>COUNTIFS($A$2:A22,A22,$D$2:D22,D22)</f>
        <v>1</v>
      </c>
    </row>
    <row r="23" ht="14.25" customHeight="1" spans="1:11">
      <c r="A23" s="2" t="s">
        <v>80</v>
      </c>
      <c r="B23" s="2" t="str">
        <f>TRIM(A23)</f>
        <v>Ahmad Ibrahim Secondary School</v>
      </c>
      <c r="C23" s="2" t="str">
        <f t="shared" si="0"/>
        <v>Ahmad Ibrahim Secondary School</v>
      </c>
      <c r="D23" s="2" t="s">
        <v>20</v>
      </c>
      <c r="E23" s="2" t="s">
        <v>81</v>
      </c>
      <c r="F23" s="2" t="s">
        <v>32</v>
      </c>
      <c r="G23" s="2" t="s">
        <v>82</v>
      </c>
      <c r="I23"/>
      <c r="J23">
        <f>COUNTIF($A$2:A23,A23)</f>
        <v>1</v>
      </c>
      <c r="K23">
        <f>COUNTIFS($A$2:A23,A23,$D$2:D23,D23)</f>
        <v>1</v>
      </c>
    </row>
    <row r="24" ht="14.25" customHeight="1" spans="1:11">
      <c r="A24" s="2" t="s">
        <v>83</v>
      </c>
      <c r="B24" s="2" t="str">
        <f>TRIM(A24)</f>
        <v>Ai Tong School</v>
      </c>
      <c r="C24" s="2" t="str">
        <f t="shared" si="0"/>
        <v>Ai Tong School</v>
      </c>
      <c r="D24" s="2" t="s">
        <v>30</v>
      </c>
      <c r="E24" s="2" t="s">
        <v>84</v>
      </c>
      <c r="F24" s="2" t="s">
        <v>14</v>
      </c>
      <c r="G24" s="2" t="s">
        <v>85</v>
      </c>
      <c r="I24"/>
      <c r="J24">
        <f>COUNTIF($A$2:A24,A24)</f>
        <v>1</v>
      </c>
      <c r="K24">
        <f>COUNTIFS($A$2:A24,A24,$D$2:D24,D24)</f>
        <v>1</v>
      </c>
    </row>
    <row r="25" ht="14.25" customHeight="1" spans="1:11">
      <c r="A25" s="2" t="s">
        <v>86</v>
      </c>
      <c r="B25" s="2" t="str">
        <f>TRIM(A25)</f>
        <v>Alexandra Primary School</v>
      </c>
      <c r="C25" s="2" t="str">
        <f t="shared" si="0"/>
        <v>Alexandra Primary School</v>
      </c>
      <c r="D25" s="2" t="s">
        <v>30</v>
      </c>
      <c r="E25" s="2" t="s">
        <v>87</v>
      </c>
      <c r="F25" s="2" t="s">
        <v>14</v>
      </c>
      <c r="G25" s="2" t="s">
        <v>88</v>
      </c>
      <c r="I25"/>
      <c r="J25">
        <f>COUNTIF($A$2:A25,A25)</f>
        <v>1</v>
      </c>
      <c r="K25">
        <f>COUNTIFS($A$2:A25,A25,$D$2:D25,D25)</f>
        <v>1</v>
      </c>
    </row>
    <row r="26" ht="14.25" customHeight="1" spans="1:11">
      <c r="A26" s="2" t="s">
        <v>89</v>
      </c>
      <c r="B26" s="2" t="str">
        <f>TRIM(A26)</f>
        <v>Anchor Green Primary School</v>
      </c>
      <c r="C26" s="2" t="str">
        <f t="shared" si="0"/>
        <v>Anchor Green Primary School</v>
      </c>
      <c r="D26" s="2" t="s">
        <v>20</v>
      </c>
      <c r="E26" s="2" t="s">
        <v>90</v>
      </c>
      <c r="F26" s="2" t="s">
        <v>14</v>
      </c>
      <c r="G26" s="2" t="s">
        <v>91</v>
      </c>
      <c r="I26"/>
      <c r="J26">
        <f>COUNTIF($A$2:A26,A26)</f>
        <v>1</v>
      </c>
      <c r="K26">
        <f>COUNTIFS($A$2:A26,A26,$D$2:D26,D26)</f>
        <v>1</v>
      </c>
    </row>
    <row r="27" ht="14.25" customHeight="1" spans="1:11">
      <c r="A27" s="2" t="s">
        <v>92</v>
      </c>
      <c r="B27" s="2" t="str">
        <f>TRIM(A27)</f>
        <v>Anderson Junior College</v>
      </c>
      <c r="C27" s="2" t="str">
        <f t="shared" si="0"/>
        <v>Anderson Junior College</v>
      </c>
      <c r="D27" s="2" t="s">
        <v>20</v>
      </c>
      <c r="E27" s="2" t="s">
        <v>93</v>
      </c>
      <c r="F27" s="2" t="s">
        <v>57</v>
      </c>
      <c r="G27" s="2" t="s">
        <v>94</v>
      </c>
      <c r="I27"/>
      <c r="J27">
        <f>COUNTIF($A$2:A27,A27)</f>
        <v>1</v>
      </c>
      <c r="K27">
        <f>COUNTIFS($A$2:A27,A27,$D$2:D27,D27)</f>
        <v>1</v>
      </c>
    </row>
    <row r="28" ht="14.25" customHeight="1" spans="1:11">
      <c r="A28" s="2" t="s">
        <v>95</v>
      </c>
      <c r="B28" s="2" t="str">
        <f>TRIM(A28)</f>
        <v>Anderson Primary School</v>
      </c>
      <c r="C28" s="2" t="str">
        <f t="shared" si="0"/>
        <v>Anderson Primary School</v>
      </c>
      <c r="D28" s="2" t="s">
        <v>20</v>
      </c>
      <c r="E28" s="2" t="s">
        <v>96</v>
      </c>
      <c r="F28" s="2" t="s">
        <v>14</v>
      </c>
      <c r="G28" s="2" t="s">
        <v>97</v>
      </c>
      <c r="I28"/>
      <c r="J28">
        <f>COUNTIF($A$2:A28,A28)</f>
        <v>1</v>
      </c>
      <c r="K28">
        <f>COUNTIFS($A$2:A28,A28,$D$2:D28,D28)</f>
        <v>1</v>
      </c>
    </row>
    <row r="29" ht="14.25" customHeight="1" spans="1:11">
      <c r="A29" s="2" t="s">
        <v>98</v>
      </c>
      <c r="B29" s="2" t="str">
        <f>TRIM(A29)</f>
        <v>ANDERSON SECONDARY SCHOOL</v>
      </c>
      <c r="C29" s="2" t="str">
        <f t="shared" si="0"/>
        <v>Anderson Secondary School</v>
      </c>
      <c r="D29" s="2" t="s">
        <v>20</v>
      </c>
      <c r="E29" s="2" t="s">
        <v>99</v>
      </c>
      <c r="F29" s="2" t="s">
        <v>32</v>
      </c>
      <c r="G29" s="2" t="s">
        <v>100</v>
      </c>
      <c r="I29"/>
      <c r="J29">
        <f>COUNTIF($A$2:A29,A29)</f>
        <v>1</v>
      </c>
      <c r="K29">
        <f>COUNTIFS($A$2:A29,A29,$D$2:D29,D29)</f>
        <v>1</v>
      </c>
    </row>
    <row r="30" ht="14.25" customHeight="1" spans="1:11">
      <c r="A30" s="2" t="s">
        <v>101</v>
      </c>
      <c r="B30" s="2" t="str">
        <f>TRIM(A30)</f>
        <v>Ang Mo Kio Primary School</v>
      </c>
      <c r="C30" s="2" t="str">
        <f t="shared" si="0"/>
        <v>Ang Mo Kio Primary School</v>
      </c>
      <c r="D30" s="2" t="s">
        <v>30</v>
      </c>
      <c r="E30" s="2" t="s">
        <v>102</v>
      </c>
      <c r="F30" s="2" t="s">
        <v>14</v>
      </c>
      <c r="G30" s="2" t="s">
        <v>103</v>
      </c>
      <c r="I30"/>
      <c r="J30">
        <f>COUNTIF($A$2:A30,A30)</f>
        <v>1</v>
      </c>
      <c r="K30">
        <f>COUNTIFS($A$2:A30,A30,$D$2:D30,D30)</f>
        <v>1</v>
      </c>
    </row>
    <row r="31" ht="14.25" customHeight="1" spans="1:11">
      <c r="A31" s="2" t="s">
        <v>104</v>
      </c>
      <c r="B31" s="2" t="str">
        <f>TRIM(A31)</f>
        <v>Ang Mo Kio Secondary School</v>
      </c>
      <c r="C31" s="2" t="str">
        <f t="shared" si="0"/>
        <v>Ang Mo Kio Secondary School</v>
      </c>
      <c r="D31" s="2" t="s">
        <v>30</v>
      </c>
      <c r="E31" s="2" t="s">
        <v>105</v>
      </c>
      <c r="F31" s="2" t="s">
        <v>32</v>
      </c>
      <c r="G31" s="2" t="s">
        <v>106</v>
      </c>
      <c r="I31"/>
      <c r="J31">
        <f>COUNTIF($A$2:A31,A31)</f>
        <v>1</v>
      </c>
      <c r="K31">
        <f>COUNTIFS($A$2:A31,A31,$D$2:D31,D31)</f>
        <v>1</v>
      </c>
    </row>
    <row r="32" ht="14.25" customHeight="1" spans="1:11">
      <c r="A32" s="2" t="s">
        <v>107</v>
      </c>
      <c r="B32" s="2" t="str">
        <f>TRIM(A32)</f>
        <v>Anglican High School</v>
      </c>
      <c r="C32" s="2" t="str">
        <f t="shared" si="0"/>
        <v>Anglican High School</v>
      </c>
      <c r="D32" s="2" t="s">
        <v>17</v>
      </c>
      <c r="E32" s="2" t="s">
        <v>108</v>
      </c>
      <c r="F32" s="2" t="s">
        <v>32</v>
      </c>
      <c r="G32" s="2">
        <v>307</v>
      </c>
      <c r="I32"/>
      <c r="J32">
        <f>COUNTIF($A$2:A32,A32)</f>
        <v>1</v>
      </c>
      <c r="K32">
        <f>COUNTIFS($A$2:A32,A32,$D$2:D32,D32)</f>
        <v>1</v>
      </c>
    </row>
    <row r="33" ht="14.25" customHeight="1" spans="1:11">
      <c r="A33" s="2" t="s">
        <v>109</v>
      </c>
      <c r="B33" s="2" t="str">
        <f>TRIM(A33)</f>
        <v>Anglo-Chinese Junior College</v>
      </c>
      <c r="C33" s="2" t="str">
        <f t="shared" si="0"/>
        <v>Anglo-Chinese Junior College</v>
      </c>
      <c r="D33" s="2" t="s">
        <v>12</v>
      </c>
      <c r="E33" s="2" t="s">
        <v>110</v>
      </c>
      <c r="F33" s="2" t="s">
        <v>57</v>
      </c>
      <c r="G33" s="2" t="s">
        <v>111</v>
      </c>
      <c r="I33"/>
      <c r="J33">
        <f>COUNTIF($A$2:A33,A33)</f>
        <v>1</v>
      </c>
      <c r="K33">
        <f>COUNTIFS($A$2:A33,A33,$D$2:D33,D33)</f>
        <v>1</v>
      </c>
    </row>
    <row r="34" ht="14.25" customHeight="1" spans="1:11">
      <c r="A34" s="2" t="s">
        <v>112</v>
      </c>
      <c r="B34" s="2" t="str">
        <f>TRIM(A34)</f>
        <v>Anglo-Chinese School (Barker Road)</v>
      </c>
      <c r="C34" s="2" t="str">
        <f t="shared" si="0"/>
        <v>Anglo-Chinese School (Barker Road)</v>
      </c>
      <c r="D34" s="2" t="s">
        <v>30</v>
      </c>
      <c r="E34" s="2" t="s">
        <v>113</v>
      </c>
      <c r="F34" s="2" t="s">
        <v>32</v>
      </c>
      <c r="G34" s="2" t="s">
        <v>114</v>
      </c>
      <c r="I34"/>
      <c r="J34">
        <f>COUNTIF($A$2:A34,A34)</f>
        <v>1</v>
      </c>
      <c r="K34">
        <f>COUNTIFS($A$2:A34,A34,$D$2:D34,D34)</f>
        <v>1</v>
      </c>
    </row>
    <row r="35" ht="14.25" customHeight="1" spans="1:11">
      <c r="A35" s="2" t="s">
        <v>115</v>
      </c>
      <c r="B35" s="2" t="str">
        <f>TRIM(A35)</f>
        <v>Anglo-Chinese School (Independent)</v>
      </c>
      <c r="C35" s="2" t="str">
        <f t="shared" si="0"/>
        <v>Anglo-Chinese School (Independent)</v>
      </c>
      <c r="D35" s="2" t="s">
        <v>30</v>
      </c>
      <c r="E35" s="2" t="s">
        <v>116</v>
      </c>
      <c r="F35" s="2" t="s">
        <v>117</v>
      </c>
      <c r="G35" s="2" t="s">
        <v>118</v>
      </c>
      <c r="I35"/>
      <c r="J35">
        <f>COUNTIF($A$2:A35,A35)</f>
        <v>1</v>
      </c>
      <c r="K35">
        <f>COUNTIFS($A$2:A35,A35,$D$2:D35,D35)</f>
        <v>1</v>
      </c>
    </row>
    <row r="36" ht="14.25" customHeight="1" spans="1:11">
      <c r="A36" s="2" t="s">
        <v>119</v>
      </c>
      <c r="B36" s="2" t="str">
        <f>TRIM(A36)</f>
        <v>Anglo-Chinese School (Junior)</v>
      </c>
      <c r="C36" s="2" t="str">
        <f t="shared" si="0"/>
        <v>Anglo-Chinese School (Junior)</v>
      </c>
      <c r="D36" s="2" t="s">
        <v>30</v>
      </c>
      <c r="E36" s="2" t="s">
        <v>120</v>
      </c>
      <c r="F36" s="2" t="s">
        <v>14</v>
      </c>
      <c r="G36" s="2" t="s">
        <v>121</v>
      </c>
      <c r="H36" s="4" t="s">
        <v>122</v>
      </c>
      <c r="I36" s="1">
        <f>DATEVALUE(H36)</f>
        <v>44447</v>
      </c>
      <c r="J36">
        <f>COUNTIF($A$2:A36,A36)</f>
        <v>1</v>
      </c>
      <c r="K36">
        <f>COUNTIFS($A$2:A36,A36,$D$2:D36,D36)</f>
        <v>1</v>
      </c>
    </row>
    <row r="37" ht="14.25" customHeight="1" spans="1:11">
      <c r="A37" s="2" t="s">
        <v>123</v>
      </c>
      <c r="B37" s="2" t="str">
        <f>TRIM(A37)</f>
        <v>Anglo-Chinese School (Primary)</v>
      </c>
      <c r="C37" s="2" t="str">
        <f t="shared" si="0"/>
        <v>Anglo-Chinese School (Primary)</v>
      </c>
      <c r="D37" s="2" t="s">
        <v>30</v>
      </c>
      <c r="E37" s="2" t="s">
        <v>124</v>
      </c>
      <c r="F37" s="2" t="s">
        <v>14</v>
      </c>
      <c r="G37" s="2" t="s">
        <v>125</v>
      </c>
      <c r="I37"/>
      <c r="J37">
        <f>COUNTIF($A$2:A37,A37)</f>
        <v>1</v>
      </c>
      <c r="K37">
        <f>COUNTIFS($A$2:A37,A37,$D$2:D37,D37)</f>
        <v>1</v>
      </c>
    </row>
    <row r="38" ht="14.25" customHeight="1" spans="1:11">
      <c r="A38" s="2" t="s">
        <v>126</v>
      </c>
      <c r="B38" s="2" t="str">
        <f>TRIM(A38)</f>
        <v>Angsana Primary School</v>
      </c>
      <c r="C38" s="2" t="str">
        <f t="shared" si="0"/>
        <v>Angsana Primary School</v>
      </c>
      <c r="D38" s="2" t="s">
        <v>17</v>
      </c>
      <c r="E38" s="2" t="s">
        <v>127</v>
      </c>
      <c r="F38" s="2" t="s">
        <v>14</v>
      </c>
      <c r="G38" s="2" t="s">
        <v>128</v>
      </c>
      <c r="I38"/>
      <c r="J38">
        <f>COUNTIF($A$2:A38,A38)</f>
        <v>1</v>
      </c>
      <c r="K38">
        <f>COUNTIFS($A$2:A38,A38,$D$2:D38,D38)</f>
        <v>1</v>
      </c>
    </row>
    <row r="39" ht="14.25" customHeight="1" spans="1:11">
      <c r="A39" s="2" t="s">
        <v>129</v>
      </c>
      <c r="B39" s="2" t="str">
        <f>TRIM(A39)</f>
        <v>Assumption English School</v>
      </c>
      <c r="C39" s="2" t="str">
        <f t="shared" si="0"/>
        <v>Assumption English School</v>
      </c>
      <c r="D39" s="2" t="s">
        <v>12</v>
      </c>
      <c r="E39" s="2" t="s">
        <v>130</v>
      </c>
      <c r="F39" s="2" t="s">
        <v>32</v>
      </c>
      <c r="G39" s="2">
        <v>222</v>
      </c>
      <c r="I39"/>
      <c r="J39">
        <f>COUNTIF($A$2:A39,A39)</f>
        <v>1</v>
      </c>
      <c r="K39">
        <f>COUNTIFS($A$2:A39,A39,$D$2:D39,D39)</f>
        <v>1</v>
      </c>
    </row>
    <row r="40" ht="14.25" customHeight="1" spans="1:11">
      <c r="A40" s="2" t="s">
        <v>131</v>
      </c>
      <c r="B40" s="2" t="str">
        <f>TRIM(A40)</f>
        <v>Assumption Pathway School</v>
      </c>
      <c r="C40" s="2" t="str">
        <f t="shared" si="0"/>
        <v>Assumption Pathway School</v>
      </c>
      <c r="D40" s="2" t="s">
        <v>12</v>
      </c>
      <c r="E40" s="2" t="s">
        <v>132</v>
      </c>
      <c r="F40" s="2" t="s">
        <v>32</v>
      </c>
      <c r="G40" s="2" t="s">
        <v>133</v>
      </c>
      <c r="I40"/>
      <c r="J40">
        <f>COUNTIF($A$2:A40,A40)</f>
        <v>1</v>
      </c>
      <c r="K40">
        <f>COUNTIFS($A$2:A40,A40,$D$2:D40,D40)</f>
        <v>1</v>
      </c>
    </row>
    <row r="41" ht="14.25" customHeight="1" spans="1:11">
      <c r="A41" s="2" t="s">
        <v>134</v>
      </c>
      <c r="B41" s="2" t="str">
        <f>TRIM(A41)</f>
        <v>Bartley Secondary School</v>
      </c>
      <c r="C41" s="2" t="str">
        <f t="shared" si="0"/>
        <v>Bartley Secondary School</v>
      </c>
      <c r="D41" s="2" t="s">
        <v>30</v>
      </c>
      <c r="E41" s="2" t="s">
        <v>135</v>
      </c>
      <c r="F41" s="2" t="s">
        <v>32</v>
      </c>
      <c r="G41" s="2" t="s">
        <v>136</v>
      </c>
      <c r="I41"/>
      <c r="J41">
        <f>COUNTIF($A$2:A41,A41)</f>
        <v>1</v>
      </c>
      <c r="K41">
        <f>COUNTIFS($A$2:A41,A41,$D$2:D41,D41)</f>
        <v>1</v>
      </c>
    </row>
    <row r="42" ht="14.25" customHeight="1" spans="1:11">
      <c r="A42" s="2" t="s">
        <v>137</v>
      </c>
      <c r="B42" s="2" t="str">
        <f>TRIM(A42)</f>
        <v>Beacon Primary School</v>
      </c>
      <c r="C42" s="2" t="str">
        <f t="shared" si="0"/>
        <v>Beacon Primary School</v>
      </c>
      <c r="D42" s="2" t="s">
        <v>12</v>
      </c>
      <c r="E42" s="2" t="s">
        <v>138</v>
      </c>
      <c r="F42" s="2" t="s">
        <v>14</v>
      </c>
      <c r="G42" s="2" t="s">
        <v>139</v>
      </c>
      <c r="I42"/>
      <c r="J42">
        <f>COUNTIF($A$2:A42,A42)</f>
        <v>1</v>
      </c>
      <c r="K42">
        <f>COUNTIFS($A$2:A42,A42,$D$2:D42,D42)</f>
        <v>1</v>
      </c>
    </row>
    <row r="43" ht="14.25" customHeight="1" spans="1:11">
      <c r="A43" s="2" t="s">
        <v>140</v>
      </c>
      <c r="B43" s="2" t="str">
        <f>TRIM(A43)</f>
        <v>Bedok Green Primary School</v>
      </c>
      <c r="C43" s="2" t="str">
        <f t="shared" si="0"/>
        <v>Bedok Green Primary School</v>
      </c>
      <c r="D43" s="2" t="s">
        <v>17</v>
      </c>
      <c r="E43" s="2" t="s">
        <v>141</v>
      </c>
      <c r="F43" s="2" t="s">
        <v>14</v>
      </c>
      <c r="G43" s="2" t="s">
        <v>142</v>
      </c>
      <c r="I43"/>
      <c r="J43">
        <f>COUNTIF($A$2:A43,A43)</f>
        <v>1</v>
      </c>
      <c r="K43">
        <f>COUNTIFS($A$2:A43,A43,$D$2:D43,D43)</f>
        <v>1</v>
      </c>
    </row>
    <row r="44" ht="14.25" customHeight="1" spans="1:11">
      <c r="A44" s="2" t="s">
        <v>143</v>
      </c>
      <c r="B44" s="2" t="str">
        <f>TRIM(A44)</f>
        <v>Bedok Green Secondary School</v>
      </c>
      <c r="C44" s="2" t="str">
        <f t="shared" si="0"/>
        <v>Bedok Green Secondary School</v>
      </c>
      <c r="D44" s="2" t="s">
        <v>17</v>
      </c>
      <c r="E44" s="2" t="s">
        <v>144</v>
      </c>
      <c r="F44" s="2" t="s">
        <v>32</v>
      </c>
      <c r="G44" s="2" t="s">
        <v>145</v>
      </c>
      <c r="I44"/>
      <c r="J44">
        <f>COUNTIF($A$2:A44,A44)</f>
        <v>1</v>
      </c>
      <c r="K44">
        <f>COUNTIFS($A$2:A44,A44,$D$2:D44,D44)</f>
        <v>1</v>
      </c>
    </row>
    <row r="45" ht="14.25" customHeight="1" spans="1:11">
      <c r="A45" s="2" t="s">
        <v>146</v>
      </c>
      <c r="B45" s="2" t="str">
        <f>TRIM(A45)</f>
        <v>Bedok South Secondary School</v>
      </c>
      <c r="C45" s="2" t="str">
        <f t="shared" si="0"/>
        <v>Bedok South Secondary School</v>
      </c>
      <c r="D45" s="2" t="s">
        <v>17</v>
      </c>
      <c r="E45" s="2" t="s">
        <v>147</v>
      </c>
      <c r="F45" s="2" t="s">
        <v>32</v>
      </c>
      <c r="G45" s="2" t="s">
        <v>148</v>
      </c>
      <c r="I45"/>
      <c r="J45">
        <f>COUNTIF($A$2:A45,A45)</f>
        <v>1</v>
      </c>
      <c r="K45">
        <f>COUNTIFS($A$2:A45,A45,$D$2:D45,D45)</f>
        <v>1</v>
      </c>
    </row>
    <row r="46" ht="14.25" customHeight="1" spans="1:11">
      <c r="A46" s="2" t="s">
        <v>149</v>
      </c>
      <c r="B46" s="2" t="str">
        <f>TRIM(A46)</f>
        <v>Bedok View Secondary School</v>
      </c>
      <c r="C46" s="2" t="str">
        <f t="shared" si="0"/>
        <v>Bedok View Secondary School</v>
      </c>
      <c r="D46" s="2" t="s">
        <v>17</v>
      </c>
      <c r="E46" s="2" t="s">
        <v>150</v>
      </c>
      <c r="F46" s="2" t="s">
        <v>32</v>
      </c>
      <c r="G46" s="2" t="s">
        <v>151</v>
      </c>
      <c r="I46"/>
      <c r="J46">
        <f>COUNTIF($A$2:A46,A46)</f>
        <v>1</v>
      </c>
      <c r="K46">
        <f>COUNTIFS($A$2:A46,A46,$D$2:D46,D46)</f>
        <v>1</v>
      </c>
    </row>
    <row r="47" ht="14.25" customHeight="1" spans="1:11">
      <c r="A47" s="2" t="s">
        <v>152</v>
      </c>
      <c r="B47" s="2" t="str">
        <f>TRIM(A47)</f>
        <v>Bendemeer Primary School</v>
      </c>
      <c r="C47" s="2" t="str">
        <f t="shared" si="0"/>
        <v>Bendemeer Primary School</v>
      </c>
      <c r="D47" s="2" t="s">
        <v>30</v>
      </c>
      <c r="E47" s="2" t="s">
        <v>153</v>
      </c>
      <c r="F47" s="2" t="s">
        <v>14</v>
      </c>
      <c r="G47" s="2" t="s">
        <v>154</v>
      </c>
      <c r="I47"/>
      <c r="J47">
        <f>COUNTIF($A$2:A47,A47)</f>
        <v>1</v>
      </c>
      <c r="K47">
        <f>COUNTIFS($A$2:A47,A47,$D$2:D47,D47)</f>
        <v>1</v>
      </c>
    </row>
    <row r="48" ht="14.25" customHeight="1" spans="1:11">
      <c r="A48" s="2" t="s">
        <v>155</v>
      </c>
      <c r="B48" s="2" t="str">
        <f>TRIM(A48)</f>
        <v>BENDEMEER SECONDARY SCHOOL</v>
      </c>
      <c r="C48" s="2" t="str">
        <f t="shared" si="0"/>
        <v>Bendemeer Secondary School</v>
      </c>
      <c r="D48" s="2" t="s">
        <v>30</v>
      </c>
      <c r="E48" s="2" t="s">
        <v>156</v>
      </c>
      <c r="F48" s="2" t="s">
        <v>32</v>
      </c>
      <c r="G48" s="2" t="s">
        <v>157</v>
      </c>
      <c r="I48"/>
      <c r="J48">
        <f>COUNTIF($A$2:A48,A48)</f>
        <v>1</v>
      </c>
      <c r="K48">
        <f>COUNTIFS($A$2:A48,A48,$D$2:D48,D48)</f>
        <v>1</v>
      </c>
    </row>
    <row r="49" ht="14.25" customHeight="1" spans="1:11">
      <c r="A49" s="2" t="s">
        <v>158</v>
      </c>
      <c r="B49" s="2" t="str">
        <f>TRIM(A49)</f>
        <v>Blangah Rise Primary School</v>
      </c>
      <c r="C49" s="2" t="str">
        <f t="shared" si="0"/>
        <v>Blangah Rise Primary School</v>
      </c>
      <c r="D49" s="2" t="s">
        <v>30</v>
      </c>
      <c r="E49" s="2" t="s">
        <v>159</v>
      </c>
      <c r="F49" s="2" t="s">
        <v>14</v>
      </c>
      <c r="G49" s="2" t="s">
        <v>160</v>
      </c>
      <c r="I49"/>
      <c r="J49">
        <f>COUNTIF($A$2:A49,A49)</f>
        <v>1</v>
      </c>
      <c r="K49">
        <f>COUNTIFS($A$2:A49,A49,$D$2:D49,D49)</f>
        <v>1</v>
      </c>
    </row>
    <row r="50" ht="14.25" customHeight="1" spans="1:11">
      <c r="A50" s="2" t="s">
        <v>161</v>
      </c>
      <c r="B50" s="2" t="str">
        <f>TRIM(A50)</f>
        <v>Boon Lay Garden Primary School</v>
      </c>
      <c r="C50" s="2" t="str">
        <f t="shared" si="0"/>
        <v>Boon Lay Garden Primary School</v>
      </c>
      <c r="D50" s="2" t="s">
        <v>12</v>
      </c>
      <c r="E50" s="2" t="s">
        <v>162</v>
      </c>
      <c r="F50" s="2" t="s">
        <v>14</v>
      </c>
      <c r="G50" s="2" t="s">
        <v>163</v>
      </c>
      <c r="I50"/>
      <c r="J50">
        <f>COUNTIF($A$2:A50,A50)</f>
        <v>1</v>
      </c>
      <c r="K50">
        <f>COUNTIFS($A$2:A50,A50,$D$2:D50,D50)</f>
        <v>1</v>
      </c>
    </row>
    <row r="51" ht="14.25" customHeight="1" spans="1:11">
      <c r="A51" s="2" t="s">
        <v>164</v>
      </c>
      <c r="B51" s="2" t="str">
        <f>TRIM(A51)</f>
        <v>Boon Lay Secondary School</v>
      </c>
      <c r="C51" s="2" t="str">
        <f t="shared" si="0"/>
        <v>Boon Lay Secondary School</v>
      </c>
      <c r="D51" s="2" t="s">
        <v>12</v>
      </c>
      <c r="E51" s="2" t="s">
        <v>165</v>
      </c>
      <c r="F51" s="2" t="s">
        <v>32</v>
      </c>
      <c r="G51" s="2" t="s">
        <v>166</v>
      </c>
      <c r="I51"/>
      <c r="J51">
        <f>COUNTIF($A$2:A51,A51)</f>
        <v>1</v>
      </c>
      <c r="K51">
        <f>COUNTIFS($A$2:A51,A51,$D$2:D51,D51)</f>
        <v>1</v>
      </c>
    </row>
    <row r="52" ht="14.25" customHeight="1" spans="1:11">
      <c r="A52" s="2" t="s">
        <v>167</v>
      </c>
      <c r="B52" s="2" t="str">
        <f>TRIM(A52)</f>
        <v>Bowen Secondary School</v>
      </c>
      <c r="C52" s="2" t="str">
        <f t="shared" si="0"/>
        <v>Bowen Secondary School</v>
      </c>
      <c r="D52" s="2" t="s">
        <v>20</v>
      </c>
      <c r="E52" s="2" t="s">
        <v>168</v>
      </c>
      <c r="F52" s="2" t="s">
        <v>32</v>
      </c>
      <c r="G52" s="2" t="s">
        <v>169</v>
      </c>
      <c r="I52"/>
      <c r="J52">
        <f>COUNTIF($A$2:A52,A52)</f>
        <v>1</v>
      </c>
      <c r="K52">
        <f>COUNTIFS($A$2:A52,A52,$D$2:D52,D52)</f>
        <v>1</v>
      </c>
    </row>
    <row r="53" ht="14.25" customHeight="1" spans="1:11">
      <c r="A53" s="2" t="s">
        <v>170</v>
      </c>
      <c r="B53" s="2" t="str">
        <f>TRIM(A53)</f>
        <v>Broadrick Secondary School</v>
      </c>
      <c r="C53" s="2" t="str">
        <f t="shared" si="0"/>
        <v>Broadrick Secondary School</v>
      </c>
      <c r="D53" s="2" t="s">
        <v>17</v>
      </c>
      <c r="E53" s="2" t="s">
        <v>171</v>
      </c>
      <c r="F53" s="2" t="s">
        <v>32</v>
      </c>
      <c r="G53" s="2" t="s">
        <v>172</v>
      </c>
      <c r="I53"/>
      <c r="J53">
        <f>COUNTIF($A$2:A53,A53)</f>
        <v>1</v>
      </c>
      <c r="K53">
        <f>COUNTIFS($A$2:A53,A53,$D$2:D53,D53)</f>
        <v>1</v>
      </c>
    </row>
    <row r="54" ht="14.25" customHeight="1" spans="1:11">
      <c r="A54" s="2" t="s">
        <v>173</v>
      </c>
      <c r="B54" s="2" t="str">
        <f>TRIM(A54)</f>
        <v>Bukit Batok Secondary School</v>
      </c>
      <c r="C54" s="2" t="str">
        <f t="shared" si="0"/>
        <v>Bukit Batok Secondary School</v>
      </c>
      <c r="D54" s="2" t="s">
        <v>12</v>
      </c>
      <c r="E54" s="2" t="s">
        <v>174</v>
      </c>
      <c r="F54" s="2" t="s">
        <v>32</v>
      </c>
      <c r="G54" s="2" t="s">
        <v>175</v>
      </c>
      <c r="I54"/>
      <c r="J54">
        <f>COUNTIF($A$2:A54,A54)</f>
        <v>1</v>
      </c>
      <c r="K54">
        <f>COUNTIFS($A$2:A54,A54,$D$2:D54,D54)</f>
        <v>1</v>
      </c>
    </row>
    <row r="55" ht="14.25" customHeight="1" spans="1:11">
      <c r="A55" s="2" t="s">
        <v>176</v>
      </c>
      <c r="B55" s="2" t="str">
        <f>TRIM(A55)</f>
        <v>Bukit Merah Secondary School</v>
      </c>
      <c r="C55" s="2" t="str">
        <f t="shared" si="0"/>
        <v>Bukit Merah Secondary School</v>
      </c>
      <c r="D55" s="2" t="s">
        <v>30</v>
      </c>
      <c r="E55" s="2" t="s">
        <v>177</v>
      </c>
      <c r="F55" s="2" t="s">
        <v>32</v>
      </c>
      <c r="G55" s="2" t="s">
        <v>178</v>
      </c>
      <c r="I55"/>
      <c r="J55">
        <f>COUNTIF($A$2:A55,A55)</f>
        <v>1</v>
      </c>
      <c r="K55">
        <f>COUNTIFS($A$2:A55,A55,$D$2:D55,D55)</f>
        <v>1</v>
      </c>
    </row>
    <row r="56" ht="14.25" customHeight="1" spans="1:11">
      <c r="A56" s="2" t="s">
        <v>179</v>
      </c>
      <c r="B56" s="2" t="str">
        <f>TRIM(A56)</f>
        <v>Bukit Panjang Govt. High School</v>
      </c>
      <c r="C56" s="2" t="str">
        <f t="shared" si="0"/>
        <v>Bukit Panjang Govt. High School</v>
      </c>
      <c r="D56" s="2" t="s">
        <v>12</v>
      </c>
      <c r="E56" s="2" t="s">
        <v>180</v>
      </c>
      <c r="F56" s="2" t="s">
        <v>32</v>
      </c>
      <c r="G56" s="2" t="s">
        <v>181</v>
      </c>
      <c r="I56"/>
      <c r="J56">
        <f>COUNTIF($A$2:A56,A56)</f>
        <v>1</v>
      </c>
      <c r="K56">
        <f>COUNTIFS($A$2:A56,A56,$D$2:D56,D56)</f>
        <v>1</v>
      </c>
    </row>
    <row r="57" ht="14.25" customHeight="1" spans="1:11">
      <c r="A57" s="2" t="s">
        <v>182</v>
      </c>
      <c r="B57" s="2" t="str">
        <f>TRIM(A57)</f>
        <v>Bukit Panjang Primary School</v>
      </c>
      <c r="C57" s="2" t="str">
        <f t="shared" si="0"/>
        <v>Bukit Panjang Primary School</v>
      </c>
      <c r="D57" s="2" t="s">
        <v>12</v>
      </c>
      <c r="E57" s="2" t="s">
        <v>183</v>
      </c>
      <c r="F57" s="2" t="s">
        <v>14</v>
      </c>
      <c r="G57" s="2" t="s">
        <v>184</v>
      </c>
      <c r="I57"/>
      <c r="J57">
        <f>COUNTIF($A$2:A57,A57)</f>
        <v>1</v>
      </c>
      <c r="K57">
        <f>COUNTIFS($A$2:A57,A57,$D$2:D57,D57)</f>
        <v>1</v>
      </c>
    </row>
    <row r="58" ht="14.25" customHeight="1" spans="1:11">
      <c r="A58" s="2" t="s">
        <v>185</v>
      </c>
      <c r="B58" s="2" t="str">
        <f>TRIM(A58)</f>
        <v>Bukit Timah Primary School</v>
      </c>
      <c r="C58" s="2" t="str">
        <f t="shared" si="0"/>
        <v>Bukit Timah Primary School</v>
      </c>
      <c r="D58" s="2" t="s">
        <v>12</v>
      </c>
      <c r="E58" s="2" t="s">
        <v>186</v>
      </c>
      <c r="F58" s="2" t="s">
        <v>14</v>
      </c>
      <c r="G58" s="2" t="s">
        <v>187</v>
      </c>
      <c r="I58"/>
      <c r="J58">
        <f>COUNTIF($A$2:A58,A58)</f>
        <v>1</v>
      </c>
      <c r="K58">
        <f>COUNTIFS($A$2:A58,A58,$D$2:D58,D58)</f>
        <v>1</v>
      </c>
    </row>
    <row r="59" ht="14.25" customHeight="1" spans="1:11">
      <c r="A59" s="2" t="s">
        <v>188</v>
      </c>
      <c r="B59" s="2" t="str">
        <f>TRIM(A59)</f>
        <v>Bukit View Secondary School</v>
      </c>
      <c r="C59" s="2" t="str">
        <f t="shared" si="0"/>
        <v>Bukit View Secondary School</v>
      </c>
      <c r="D59" s="2" t="s">
        <v>12</v>
      </c>
      <c r="E59" s="2" t="s">
        <v>189</v>
      </c>
      <c r="F59" s="2" t="s">
        <v>32</v>
      </c>
      <c r="G59" s="2" t="s">
        <v>190</v>
      </c>
      <c r="I59"/>
      <c r="J59">
        <f>COUNTIF($A$2:A59,A59)</f>
        <v>1</v>
      </c>
      <c r="K59">
        <f>COUNTIFS($A$2:A59,A59,$D$2:D59,D59)</f>
        <v>1</v>
      </c>
    </row>
    <row r="60" ht="14.25" customHeight="1" spans="1:11">
      <c r="A60" s="2" t="s">
        <v>191</v>
      </c>
      <c r="B60" s="2" t="str">
        <f>TRIM(A60)</f>
        <v>Canberra Primary School</v>
      </c>
      <c r="C60" s="2" t="str">
        <f t="shared" si="0"/>
        <v>Canberra Primary School</v>
      </c>
      <c r="D60" s="2" t="s">
        <v>20</v>
      </c>
      <c r="E60" s="2" t="s">
        <v>192</v>
      </c>
      <c r="F60" s="2" t="s">
        <v>14</v>
      </c>
      <c r="G60" s="2" t="s">
        <v>193</v>
      </c>
      <c r="I60"/>
      <c r="J60">
        <f>COUNTIF($A$2:A60,A60)</f>
        <v>1</v>
      </c>
      <c r="K60">
        <f>COUNTIFS($A$2:A60,A60,$D$2:D60,D60)</f>
        <v>1</v>
      </c>
    </row>
    <row r="61" ht="14.25" customHeight="1" spans="1:11">
      <c r="A61" s="2" t="s">
        <v>194</v>
      </c>
      <c r="B61" s="2" t="str">
        <f>TRIM(A61)</f>
        <v>Canberra Secondary School</v>
      </c>
      <c r="C61" s="2" t="str">
        <f t="shared" si="0"/>
        <v>Canberra Secondary School</v>
      </c>
      <c r="D61" s="2" t="s">
        <v>20</v>
      </c>
      <c r="E61" s="2" t="s">
        <v>195</v>
      </c>
      <c r="F61" s="2" t="s">
        <v>32</v>
      </c>
      <c r="G61" s="2" t="s">
        <v>196</v>
      </c>
      <c r="I61"/>
      <c r="J61">
        <f>COUNTIF($A$2:A61,A61)</f>
        <v>1</v>
      </c>
      <c r="K61">
        <f>COUNTIFS($A$2:A61,A61,$D$2:D61,D61)</f>
        <v>1</v>
      </c>
    </row>
    <row r="62" ht="14.25" customHeight="1" spans="1:11">
      <c r="A62" s="2" t="s">
        <v>197</v>
      </c>
      <c r="B62" s="2" t="str">
        <f>TRIM(A62)</f>
        <v>Canossa Convent Primary School</v>
      </c>
      <c r="C62" s="2" t="str">
        <f t="shared" si="0"/>
        <v>Canossa Convent Primary School</v>
      </c>
      <c r="D62" s="2" t="s">
        <v>17</v>
      </c>
      <c r="E62" s="2" t="s">
        <v>198</v>
      </c>
      <c r="F62" s="2" t="s">
        <v>14</v>
      </c>
      <c r="G62" s="2">
        <v>302</v>
      </c>
      <c r="I62"/>
      <c r="J62">
        <f>COUNTIF($A$2:A62,A62)</f>
        <v>1</v>
      </c>
      <c r="K62">
        <f>COUNTIFS($A$2:A62,A62,$D$2:D62,D62)</f>
        <v>1</v>
      </c>
    </row>
    <row r="63" ht="14.25" customHeight="1" spans="1:11">
      <c r="A63" s="2" t="s">
        <v>199</v>
      </c>
      <c r="B63" s="2" t="str">
        <f>TRIM(A63)</f>
        <v>Cantonment Primary School</v>
      </c>
      <c r="C63" s="2" t="str">
        <f t="shared" si="0"/>
        <v>Cantonment Primary School</v>
      </c>
      <c r="D63" s="2" t="s">
        <v>30</v>
      </c>
      <c r="E63" s="2" t="s">
        <v>200</v>
      </c>
      <c r="F63" s="2" t="s">
        <v>14</v>
      </c>
      <c r="G63" s="2" t="s">
        <v>193</v>
      </c>
      <c r="I63"/>
      <c r="J63">
        <f>COUNTIF($A$2:A63,A63)</f>
        <v>1</v>
      </c>
      <c r="K63">
        <f>COUNTIFS($A$2:A63,A63,$D$2:D63,D63)</f>
        <v>1</v>
      </c>
    </row>
    <row r="64" ht="14.25" customHeight="1" spans="1:11">
      <c r="A64" s="2" t="s">
        <v>201</v>
      </c>
      <c r="B64" s="2" t="str">
        <f>TRIM(A64)</f>
        <v>Casuarina Primary School</v>
      </c>
      <c r="C64" s="2" t="str">
        <f t="shared" si="0"/>
        <v>Casuarina Primary School</v>
      </c>
      <c r="D64" s="2" t="s">
        <v>17</v>
      </c>
      <c r="E64" s="2" t="s">
        <v>202</v>
      </c>
      <c r="F64" s="2" t="s">
        <v>14</v>
      </c>
      <c r="G64" s="2" t="s">
        <v>203</v>
      </c>
      <c r="I64"/>
      <c r="J64">
        <f>COUNTIF($A$2:A64,A64)</f>
        <v>1</v>
      </c>
      <c r="K64">
        <f>COUNTIFS($A$2:A64,A64,$D$2:D64,D64)</f>
        <v>1</v>
      </c>
    </row>
    <row r="65" ht="14.25" customHeight="1" spans="1:11">
      <c r="A65" s="2" t="s">
        <v>204</v>
      </c>
      <c r="B65" s="2" t="str">
        <f>TRIM(A65)</f>
        <v>Catholic High School</v>
      </c>
      <c r="C65" s="2" t="str">
        <f t="shared" si="0"/>
        <v>Catholic High School</v>
      </c>
      <c r="D65" s="2" t="s">
        <v>20</v>
      </c>
      <c r="E65" s="2" t="s">
        <v>205</v>
      </c>
      <c r="F65" s="2" t="s">
        <v>117</v>
      </c>
      <c r="G65" s="2" t="s">
        <v>206</v>
      </c>
      <c r="I65"/>
      <c r="J65">
        <f>COUNTIF($A$2:A65,A65)</f>
        <v>1</v>
      </c>
      <c r="K65">
        <f>COUNTIFS($A$2:A65,A65,$D$2:D65,D65)</f>
        <v>1</v>
      </c>
    </row>
    <row r="66" ht="14.25" customHeight="1" spans="1:11">
      <c r="A66" s="2" t="s">
        <v>207</v>
      </c>
      <c r="B66" s="2" t="str">
        <f>TRIM(A66)</f>
        <v>Catholic Junior College</v>
      </c>
      <c r="C66" s="2" t="str">
        <f t="shared" si="0"/>
        <v>Catholic Junior College</v>
      </c>
      <c r="D66" s="2" t="s">
        <v>30</v>
      </c>
      <c r="E66" s="2" t="s">
        <v>208</v>
      </c>
      <c r="F66" s="2" t="s">
        <v>57</v>
      </c>
      <c r="G66" s="2" t="s">
        <v>209</v>
      </c>
      <c r="I66"/>
      <c r="J66">
        <f>COUNTIF($A$2:A66,A66)</f>
        <v>1</v>
      </c>
      <c r="K66">
        <f>COUNTIFS($A$2:A66,A66,$D$2:D66,D66)</f>
        <v>1</v>
      </c>
    </row>
    <row r="67" ht="14.25" customHeight="1" spans="1:11">
      <c r="A67" s="2" t="s">
        <v>210</v>
      </c>
      <c r="B67" s="2" t="str">
        <f>TRIM(A67)</f>
        <v>Cedar Girls' Secondary School</v>
      </c>
      <c r="C67" s="2" t="str">
        <f t="shared" ref="C67:C130" si="1">PROPER(B67)</f>
        <v>Cedar Girls' Secondary School</v>
      </c>
      <c r="D67" s="2" t="s">
        <v>17</v>
      </c>
      <c r="E67" s="2" t="s">
        <v>211</v>
      </c>
      <c r="F67" s="2" t="s">
        <v>32</v>
      </c>
      <c r="G67" s="2" t="s">
        <v>212</v>
      </c>
      <c r="I67"/>
      <c r="J67">
        <f>COUNTIF($A$2:A67,A67)</f>
        <v>1</v>
      </c>
      <c r="K67">
        <f>COUNTIFS($A$2:A67,A67,$D$2:D67,D67)</f>
        <v>1</v>
      </c>
    </row>
    <row r="68" ht="14.25" customHeight="1" spans="1:11">
      <c r="A68" s="2" t="s">
        <v>213</v>
      </c>
      <c r="B68" s="2" t="str">
        <f>TRIM(A68)</f>
        <v>Changkat Changi Secondary School</v>
      </c>
      <c r="C68" s="2" t="str">
        <f t="shared" si="1"/>
        <v>Changkat Changi Secondary School</v>
      </c>
      <c r="D68" s="2" t="s">
        <v>17</v>
      </c>
      <c r="E68" s="2" t="s">
        <v>214</v>
      </c>
      <c r="F68" s="2" t="s">
        <v>32</v>
      </c>
      <c r="G68" s="2">
        <v>17</v>
      </c>
      <c r="I68"/>
      <c r="J68">
        <f>COUNTIF($A$2:A68,A68)</f>
        <v>1</v>
      </c>
      <c r="K68">
        <f>COUNTIFS($A$2:A68,A68,$D$2:D68,D68)</f>
        <v>1</v>
      </c>
    </row>
    <row r="69" ht="14.25" customHeight="1" spans="1:11">
      <c r="A69" s="2" t="s">
        <v>215</v>
      </c>
      <c r="B69" s="2" t="str">
        <f>TRIM(A69)</f>
        <v>Chij (Katong) Primary</v>
      </c>
      <c r="C69" s="2" t="str">
        <f t="shared" si="1"/>
        <v>Chij (Katong) Primary</v>
      </c>
      <c r="D69" s="2" t="s">
        <v>17</v>
      </c>
      <c r="E69" s="2" t="s">
        <v>216</v>
      </c>
      <c r="F69" s="2" t="s">
        <v>14</v>
      </c>
      <c r="G69" s="2">
        <v>158</v>
      </c>
      <c r="I69"/>
      <c r="J69">
        <f>COUNTIF($A$2:A69,A69)</f>
        <v>1</v>
      </c>
      <c r="K69">
        <f>COUNTIFS($A$2:A69,A69,$D$2:D69,D69)</f>
        <v>1</v>
      </c>
    </row>
    <row r="70" ht="14.25" customHeight="1" spans="1:11">
      <c r="A70" s="2" t="s">
        <v>217</v>
      </c>
      <c r="B70" s="2" t="str">
        <f>TRIM(A70)</f>
        <v>Chij (Kellock)</v>
      </c>
      <c r="C70" s="2" t="str">
        <f t="shared" si="1"/>
        <v>Chij (Kellock)</v>
      </c>
      <c r="D70" s="2" t="s">
        <v>30</v>
      </c>
      <c r="E70" s="2" t="s">
        <v>218</v>
      </c>
      <c r="F70" s="2" t="s">
        <v>14</v>
      </c>
      <c r="G70" s="2" t="s">
        <v>219</v>
      </c>
      <c r="I70"/>
      <c r="J70">
        <f>COUNTIF($A$2:A70,A70)</f>
        <v>1</v>
      </c>
      <c r="K70">
        <f>COUNTIFS($A$2:A70,A70,$D$2:D70,D70)</f>
        <v>1</v>
      </c>
    </row>
    <row r="71" ht="14.25" customHeight="1" spans="1:11">
      <c r="A71" s="2" t="s">
        <v>220</v>
      </c>
      <c r="B71" s="2" t="str">
        <f>TRIM(A71)</f>
        <v>Chij Katong Convent</v>
      </c>
      <c r="C71" s="2" t="str">
        <f t="shared" si="1"/>
        <v>Chij Katong Convent</v>
      </c>
      <c r="D71" s="2" t="s">
        <v>17</v>
      </c>
      <c r="E71" s="2" t="s">
        <v>221</v>
      </c>
      <c r="F71" s="2" t="s">
        <v>32</v>
      </c>
      <c r="G71" s="2" t="s">
        <v>222</v>
      </c>
      <c r="I71"/>
      <c r="J71">
        <f>COUNTIF($A$2:A71,A71)</f>
        <v>1</v>
      </c>
      <c r="K71">
        <f>COUNTIFS($A$2:A71,A71,$D$2:D71,D71)</f>
        <v>1</v>
      </c>
    </row>
    <row r="72" ht="14.25" customHeight="1" spans="1:11">
      <c r="A72" s="2" t="s">
        <v>223</v>
      </c>
      <c r="B72" s="2" t="str">
        <f>TRIM(A72)</f>
        <v>Chij Our Lady Of Good Counsel</v>
      </c>
      <c r="C72" s="2" t="str">
        <f t="shared" si="1"/>
        <v>Chij Our Lady Of Good Counsel</v>
      </c>
      <c r="D72" s="2" t="s">
        <v>30</v>
      </c>
      <c r="E72" s="2" t="s">
        <v>224</v>
      </c>
      <c r="F72" s="2" t="s">
        <v>14</v>
      </c>
      <c r="G72" s="2" t="s">
        <v>225</v>
      </c>
      <c r="I72"/>
      <c r="J72">
        <f>COUNTIF($A$2:A72,A72)</f>
        <v>1</v>
      </c>
      <c r="K72">
        <f>COUNTIFS($A$2:A72,A72,$D$2:D72,D72)</f>
        <v>1</v>
      </c>
    </row>
    <row r="73" ht="14.25" customHeight="1" spans="1:11">
      <c r="A73" s="2" t="s">
        <v>226</v>
      </c>
      <c r="B73" s="2" t="str">
        <f>TRIM(A73)</f>
        <v>Chij Our Lady Of The Nativity</v>
      </c>
      <c r="C73" s="2" t="str">
        <f t="shared" si="1"/>
        <v>Chij Our Lady Of The Nativity</v>
      </c>
      <c r="D73" s="2" t="s">
        <v>30</v>
      </c>
      <c r="E73" s="2" t="s">
        <v>227</v>
      </c>
      <c r="F73" s="2" t="s">
        <v>14</v>
      </c>
      <c r="G73" s="2" t="s">
        <v>228</v>
      </c>
      <c r="I73"/>
      <c r="J73">
        <f>COUNTIF($A$2:A73,A73)</f>
        <v>1</v>
      </c>
      <c r="K73">
        <f>COUNTIFS($A$2:A73,A73,$D$2:D73,D73)</f>
        <v>1</v>
      </c>
    </row>
    <row r="74" ht="14.25" customHeight="1" spans="1:11">
      <c r="A74" s="2" t="s">
        <v>229</v>
      </c>
      <c r="B74" s="2" t="str">
        <f>TRIM(A74)</f>
        <v>Chij Our Lady Queen Of Peace</v>
      </c>
      <c r="C74" s="2" t="str">
        <f t="shared" si="1"/>
        <v>Chij Our Lady Queen Of Peace</v>
      </c>
      <c r="D74" s="2" t="s">
        <v>12</v>
      </c>
      <c r="E74" s="2" t="s">
        <v>230</v>
      </c>
      <c r="F74" s="2" t="s">
        <v>14</v>
      </c>
      <c r="G74" s="2" t="s">
        <v>231</v>
      </c>
      <c r="I74"/>
      <c r="J74">
        <f>COUNTIF($A$2:A74,A74)</f>
        <v>1</v>
      </c>
      <c r="K74">
        <f>COUNTIFS($A$2:A74,A74,$D$2:D74,D74)</f>
        <v>1</v>
      </c>
    </row>
    <row r="75" ht="14.25" customHeight="1" spans="1:11">
      <c r="A75" s="2" t="s">
        <v>232</v>
      </c>
      <c r="B75" s="2" t="str">
        <f>TRIM(A75)</f>
        <v>Chij Primary (Toa Payoh)</v>
      </c>
      <c r="C75" s="2" t="str">
        <f t="shared" si="1"/>
        <v>Chij Primary (Toa Payoh)</v>
      </c>
      <c r="D75" s="2" t="s">
        <v>30</v>
      </c>
      <c r="E75" s="2" t="s">
        <v>233</v>
      </c>
      <c r="F75" s="2" t="s">
        <v>14</v>
      </c>
      <c r="G75" s="2" t="s">
        <v>33</v>
      </c>
      <c r="I75"/>
      <c r="J75">
        <f>COUNTIF($A$2:A75,A75)</f>
        <v>1</v>
      </c>
      <c r="K75">
        <f>COUNTIFS($A$2:A75,A75,$D$2:D75,D75)</f>
        <v>1</v>
      </c>
    </row>
    <row r="76" ht="14.25" customHeight="1" spans="1:11">
      <c r="A76" s="2" t="s">
        <v>234</v>
      </c>
      <c r="B76" s="2" t="str">
        <f>TRIM(A76)</f>
        <v>Chij Secondary (Toa Payoh)</v>
      </c>
      <c r="C76" s="2" t="str">
        <f t="shared" si="1"/>
        <v>Chij Secondary (Toa Payoh)</v>
      </c>
      <c r="D76" s="2" t="s">
        <v>30</v>
      </c>
      <c r="E76" s="2" t="s">
        <v>235</v>
      </c>
      <c r="F76" s="2" t="s">
        <v>32</v>
      </c>
      <c r="G76" s="2" t="s">
        <v>236</v>
      </c>
      <c r="I76"/>
      <c r="J76">
        <f>COUNTIF($A$2:A76,A76)</f>
        <v>1</v>
      </c>
      <c r="K76">
        <f>COUNTIFS($A$2:A76,A76,$D$2:D76,D76)</f>
        <v>1</v>
      </c>
    </row>
    <row r="77" ht="14.25" customHeight="1" spans="1:11">
      <c r="A77" s="2" t="s">
        <v>237</v>
      </c>
      <c r="B77" s="2" t="str">
        <f>TRIM(A77)</f>
        <v>Chij St. Joseph'S Convent</v>
      </c>
      <c r="C77" s="2" t="str">
        <f t="shared" si="1"/>
        <v>Chij St. Joseph'S Convent</v>
      </c>
      <c r="D77" s="2" t="s">
        <v>20</v>
      </c>
      <c r="E77" s="2" t="s">
        <v>238</v>
      </c>
      <c r="F77" s="2" t="s">
        <v>32</v>
      </c>
      <c r="I77"/>
      <c r="J77">
        <f>COUNTIF($A$2:A77,A77)</f>
        <v>1</v>
      </c>
      <c r="K77">
        <f>COUNTIFS($A$2:A77,A77,$D$2:D77,D77)</f>
        <v>1</v>
      </c>
    </row>
    <row r="78" ht="14.25" customHeight="1" spans="1:11">
      <c r="A78" s="2" t="s">
        <v>239</v>
      </c>
      <c r="B78" s="2" t="str">
        <f>TRIM(A78)</f>
        <v>Chij St. Nicholas Girls' School</v>
      </c>
      <c r="C78" s="2" t="str">
        <f t="shared" si="1"/>
        <v>Chij St. Nicholas Girls' School</v>
      </c>
      <c r="D78" s="2" t="s">
        <v>20</v>
      </c>
      <c r="E78" s="2" t="s">
        <v>240</v>
      </c>
      <c r="F78" s="2" t="s">
        <v>117</v>
      </c>
      <c r="G78" s="2" t="s">
        <v>241</v>
      </c>
      <c r="I78"/>
      <c r="J78">
        <f>COUNTIF($A$2:A78,A78)</f>
        <v>1</v>
      </c>
      <c r="K78">
        <f>COUNTIFS($A$2:A78,A78,$D$2:D78,D78)</f>
        <v>1</v>
      </c>
    </row>
    <row r="79" ht="14.25" customHeight="1" spans="1:11">
      <c r="A79" s="2" t="s">
        <v>242</v>
      </c>
      <c r="B79" s="2" t="str">
        <f>TRIM(A79)</f>
        <v>Chij St. Theresa'S Convent</v>
      </c>
      <c r="C79" s="2" t="str">
        <f t="shared" si="1"/>
        <v>Chij St. Theresa'S Convent</v>
      </c>
      <c r="D79" s="2" t="s">
        <v>30</v>
      </c>
      <c r="E79" s="2" t="s">
        <v>243</v>
      </c>
      <c r="F79" s="2" t="s">
        <v>32</v>
      </c>
      <c r="G79" s="2" t="s">
        <v>244</v>
      </c>
      <c r="I79"/>
      <c r="J79">
        <f>COUNTIF($A$2:A79,A79)</f>
        <v>1</v>
      </c>
      <c r="K79">
        <f>COUNTIFS($A$2:A79,A79,$D$2:D79,D79)</f>
        <v>1</v>
      </c>
    </row>
    <row r="80" ht="14.25" customHeight="1" spans="1:11">
      <c r="A80" s="2" t="s">
        <v>245</v>
      </c>
      <c r="B80" s="2" t="str">
        <f>TRIM(A80)</f>
        <v>Chongfu School</v>
      </c>
      <c r="C80" s="2" t="str">
        <f t="shared" si="1"/>
        <v>Chongfu School</v>
      </c>
      <c r="D80" s="2" t="s">
        <v>20</v>
      </c>
      <c r="E80" s="2" t="s">
        <v>246</v>
      </c>
      <c r="F80" s="2" t="s">
        <v>14</v>
      </c>
      <c r="G80" s="2" t="s">
        <v>247</v>
      </c>
      <c r="I80"/>
      <c r="J80">
        <f>COUNTIF($A$2:A80,A80)</f>
        <v>1</v>
      </c>
      <c r="K80">
        <f>COUNTIFS($A$2:A80,A80,$D$2:D80,D80)</f>
        <v>1</v>
      </c>
    </row>
    <row r="81" ht="14.25" customHeight="1" spans="1:11">
      <c r="A81" s="2" t="s">
        <v>248</v>
      </c>
      <c r="B81" s="2" t="str">
        <f>TRIM(A81)</f>
        <v>Chongzheng Primary School</v>
      </c>
      <c r="C81" s="2" t="str">
        <f t="shared" si="1"/>
        <v>Chongzheng Primary School</v>
      </c>
      <c r="D81" s="2" t="s">
        <v>17</v>
      </c>
      <c r="E81" s="2" t="s">
        <v>249</v>
      </c>
      <c r="F81" s="2" t="s">
        <v>14</v>
      </c>
      <c r="G81" s="2" t="s">
        <v>250</v>
      </c>
      <c r="I81"/>
      <c r="J81">
        <f>COUNTIF($A$2:A81,A81)</f>
        <v>1</v>
      </c>
      <c r="K81">
        <f>COUNTIFS($A$2:A81,A81,$D$2:D81,D81)</f>
        <v>1</v>
      </c>
    </row>
    <row r="82" ht="14.25" customHeight="1" spans="1:11">
      <c r="A82" s="2" t="s">
        <v>251</v>
      </c>
      <c r="B82" s="2" t="str">
        <f>TRIM(A82)</f>
        <v>Christ Church Secondry School</v>
      </c>
      <c r="C82" s="2" t="str">
        <f t="shared" si="1"/>
        <v>Christ Church Secondry School</v>
      </c>
      <c r="D82" s="2" t="s">
        <v>20</v>
      </c>
      <c r="E82" s="2" t="s">
        <v>252</v>
      </c>
      <c r="F82" s="2" t="s">
        <v>32</v>
      </c>
      <c r="G82" s="2">
        <v>901</v>
      </c>
      <c r="H82" s="3" t="s">
        <v>122</v>
      </c>
      <c r="I82" s="1">
        <f>DATEVALUE(H82)</f>
        <v>44447</v>
      </c>
      <c r="J82">
        <f>COUNTIF($A$2:A82,A82)</f>
        <v>1</v>
      </c>
      <c r="K82">
        <f>COUNTIFS($A$2:A82,A82,$D$2:D82,D82)</f>
        <v>1</v>
      </c>
    </row>
    <row r="83" ht="14.25" customHeight="1" spans="1:11">
      <c r="A83" s="2" t="s">
        <v>253</v>
      </c>
      <c r="B83" s="2" t="str">
        <f>TRIM(A83)</f>
        <v>Chua Chu Kang Primary School</v>
      </c>
      <c r="C83" s="2" t="str">
        <f t="shared" si="1"/>
        <v>Chua Chu Kang Primary School</v>
      </c>
      <c r="D83" s="2" t="s">
        <v>12</v>
      </c>
      <c r="E83" s="2" t="s">
        <v>254</v>
      </c>
      <c r="F83" s="2" t="s">
        <v>14</v>
      </c>
      <c r="G83" s="2" t="s">
        <v>255</v>
      </c>
      <c r="I83"/>
      <c r="J83">
        <f>COUNTIF($A$2:A83,A83)</f>
        <v>1</v>
      </c>
      <c r="K83">
        <f>COUNTIFS($A$2:A83,A83,$D$2:D83,D83)</f>
        <v>1</v>
      </c>
    </row>
    <row r="84" ht="14.25" customHeight="1" spans="1:11">
      <c r="A84" s="2" t="s">
        <v>256</v>
      </c>
      <c r="B84" s="2" t="str">
        <f>TRIM(A84)</f>
        <v>Chua Chu Kang Secondary School</v>
      </c>
      <c r="C84" s="2" t="str">
        <f t="shared" si="1"/>
        <v>Chua Chu Kang Secondary School</v>
      </c>
      <c r="D84" s="2" t="s">
        <v>12</v>
      </c>
      <c r="E84" s="2" t="s">
        <v>257</v>
      </c>
      <c r="F84" s="2" t="s">
        <v>32</v>
      </c>
      <c r="G84" s="2" t="s">
        <v>258</v>
      </c>
      <c r="I84"/>
      <c r="J84">
        <f>COUNTIF($A$2:A84,A84)</f>
        <v>1</v>
      </c>
      <c r="K84">
        <f>COUNTIFS($A$2:A84,A84,$D$2:D84,D84)</f>
        <v>1</v>
      </c>
    </row>
    <row r="85" ht="14.25" customHeight="1" spans="1:11">
      <c r="A85" s="2" t="s">
        <v>259</v>
      </c>
      <c r="B85" s="2" t="str">
        <f>TRIM(A85)</f>
        <v>Chung Cheng High School (Main)</v>
      </c>
      <c r="C85" s="2" t="str">
        <f t="shared" si="1"/>
        <v>Chung Cheng High School (Main)</v>
      </c>
      <c r="D85" s="2" t="s">
        <v>17</v>
      </c>
      <c r="E85" s="2" t="s">
        <v>260</v>
      </c>
      <c r="F85" s="2" t="s">
        <v>32</v>
      </c>
      <c r="G85" s="2" t="s">
        <v>261</v>
      </c>
      <c r="I85"/>
      <c r="J85">
        <f>COUNTIF($A$2:A85,A85)</f>
        <v>1</v>
      </c>
      <c r="K85">
        <f>COUNTIFS($A$2:A85,A85,$D$2:D85,D85)</f>
        <v>1</v>
      </c>
    </row>
    <row r="86" ht="14.25" customHeight="1" spans="1:11">
      <c r="A86" s="2" t="s">
        <v>262</v>
      </c>
      <c r="B86" s="2" t="str">
        <f>TRIM(A86)</f>
        <v>Chung Cheng High School (Yishun)</v>
      </c>
      <c r="C86" s="2" t="str">
        <f t="shared" si="1"/>
        <v>Chung Cheng High School (Yishun)</v>
      </c>
      <c r="D86" s="2" t="s">
        <v>20</v>
      </c>
      <c r="E86" s="2" t="s">
        <v>263</v>
      </c>
      <c r="F86" s="2" t="s">
        <v>32</v>
      </c>
      <c r="G86" s="2" t="s">
        <v>264</v>
      </c>
      <c r="I86"/>
      <c r="J86">
        <f>COUNTIF($A$2:A86,A86)</f>
        <v>1</v>
      </c>
      <c r="K86">
        <f>COUNTIFS($A$2:A86,A86,$D$2:D86,D86)</f>
        <v>1</v>
      </c>
    </row>
    <row r="87" ht="14.25" customHeight="1" spans="1:11">
      <c r="A87" s="2" t="s">
        <v>265</v>
      </c>
      <c r="B87" s="2" t="str">
        <f>TRIM(A87)</f>
        <v>Clementi Primary School</v>
      </c>
      <c r="C87" s="2" t="str">
        <f t="shared" si="1"/>
        <v>Clementi Primary School</v>
      </c>
      <c r="D87" s="2" t="s">
        <v>12</v>
      </c>
      <c r="E87" s="2" t="s">
        <v>266</v>
      </c>
      <c r="F87" s="2" t="s">
        <v>14</v>
      </c>
      <c r="G87" s="2" t="s">
        <v>267</v>
      </c>
      <c r="I87"/>
      <c r="J87">
        <f>COUNTIF($A$2:A87,A87)</f>
        <v>1</v>
      </c>
      <c r="K87">
        <f>COUNTIFS($A$2:A87,A87,$D$2:D87,D87)</f>
        <v>1</v>
      </c>
    </row>
    <row r="88" ht="14.25" customHeight="1" spans="1:11">
      <c r="A88" s="2" t="s">
        <v>268</v>
      </c>
      <c r="B88" s="2" t="str">
        <f>TRIM(A88)</f>
        <v>CLEMENTI TOWN SECONDARY SCHOOL</v>
      </c>
      <c r="C88" s="2" t="str">
        <f t="shared" si="1"/>
        <v>Clementi Town Secondary School</v>
      </c>
      <c r="D88" s="2" t="s">
        <v>12</v>
      </c>
      <c r="E88" s="2" t="s">
        <v>269</v>
      </c>
      <c r="F88" s="2" t="s">
        <v>32</v>
      </c>
      <c r="G88" s="2" t="s">
        <v>72</v>
      </c>
      <c r="I88"/>
      <c r="J88">
        <f>COUNTIF($A$2:A88,A88)</f>
        <v>1</v>
      </c>
      <c r="K88">
        <f>COUNTIFS($A$2:A88,A88,$D$2:D88,D88)</f>
        <v>1</v>
      </c>
    </row>
    <row r="89" ht="14.25" customHeight="1" spans="1:11">
      <c r="A89" s="2" t="s">
        <v>270</v>
      </c>
      <c r="B89" s="2" t="str">
        <f>TRIM(A89)</f>
        <v>Commonwealth Secondary School</v>
      </c>
      <c r="C89" s="2" t="str">
        <f t="shared" si="1"/>
        <v>Commonwealth Secondary School</v>
      </c>
      <c r="D89" s="2" t="s">
        <v>12</v>
      </c>
      <c r="E89" s="2" t="s">
        <v>271</v>
      </c>
      <c r="F89" s="2" t="s">
        <v>32</v>
      </c>
      <c r="G89" s="2" t="s">
        <v>272</v>
      </c>
      <c r="I89"/>
      <c r="J89">
        <f>COUNTIF($A$2:A89,A89)</f>
        <v>1</v>
      </c>
      <c r="K89">
        <f>COUNTIFS($A$2:A89,A89,$D$2:D89,D89)</f>
        <v>1</v>
      </c>
    </row>
    <row r="90" ht="14.25" customHeight="1" spans="1:11">
      <c r="A90" s="2" t="s">
        <v>273</v>
      </c>
      <c r="B90" s="2" t="str">
        <f>TRIM(A90)</f>
        <v>Compassvale Primary School</v>
      </c>
      <c r="C90" s="2" t="str">
        <f t="shared" si="1"/>
        <v>Compassvale Primary School</v>
      </c>
      <c r="D90" s="2" t="s">
        <v>20</v>
      </c>
      <c r="E90" s="2" t="s">
        <v>274</v>
      </c>
      <c r="F90" s="2" t="s">
        <v>14</v>
      </c>
      <c r="G90" s="2" t="s">
        <v>275</v>
      </c>
      <c r="I90"/>
      <c r="J90">
        <f>COUNTIF($A$2:A90,A90)</f>
        <v>1</v>
      </c>
      <c r="K90">
        <f>COUNTIFS($A$2:A90,A90,$D$2:D90,D90)</f>
        <v>1</v>
      </c>
    </row>
    <row r="91" ht="14.25" customHeight="1" spans="1:11">
      <c r="A91" s="2" t="s">
        <v>276</v>
      </c>
      <c r="B91" s="2" t="str">
        <f>TRIM(A91)</f>
        <v>Compassvale Secondary School</v>
      </c>
      <c r="C91" s="2" t="str">
        <f t="shared" si="1"/>
        <v>Compassvale Secondary School</v>
      </c>
      <c r="D91" s="2" t="s">
        <v>20</v>
      </c>
      <c r="E91" s="2" t="s">
        <v>277</v>
      </c>
      <c r="F91" s="2" t="s">
        <v>32</v>
      </c>
      <c r="G91" s="2">
        <v>811</v>
      </c>
      <c r="I91"/>
      <c r="J91">
        <f>COUNTIF($A$2:A91,A91)</f>
        <v>1</v>
      </c>
      <c r="K91">
        <f>COUNTIFS($A$2:A91,A91,$D$2:D91,D91)</f>
        <v>1</v>
      </c>
    </row>
    <row r="92" ht="14.25" customHeight="1" spans="1:11">
      <c r="A92" s="2" t="s">
        <v>278</v>
      </c>
      <c r="B92" s="2" t="str">
        <f>TRIM(A92)</f>
        <v>Concord Primary School</v>
      </c>
      <c r="C92" s="2" t="str">
        <f t="shared" si="1"/>
        <v>Concord Primary School</v>
      </c>
      <c r="D92" s="2" t="s">
        <v>12</v>
      </c>
      <c r="E92" s="2" t="s">
        <v>279</v>
      </c>
      <c r="F92" s="2" t="s">
        <v>14</v>
      </c>
      <c r="G92" s="2" t="s">
        <v>280</v>
      </c>
      <c r="I92"/>
      <c r="J92">
        <f>COUNTIF($A$2:A92,A92)</f>
        <v>1</v>
      </c>
      <c r="K92">
        <f>COUNTIFS($A$2:A92,A92,$D$2:D92,D92)</f>
        <v>1</v>
      </c>
    </row>
    <row r="93" ht="14.25" customHeight="1" spans="1:11">
      <c r="A93" s="2" t="s">
        <v>281</v>
      </c>
      <c r="B93" s="2" t="str">
        <f>TRIM(A93)</f>
        <v>CORAL PRIMARY SCHOOL</v>
      </c>
      <c r="C93" s="2" t="str">
        <f t="shared" si="1"/>
        <v>Coral Primary School</v>
      </c>
      <c r="D93" s="2" t="s">
        <v>17</v>
      </c>
      <c r="E93" s="2" t="s">
        <v>282</v>
      </c>
      <c r="F93" s="2" t="s">
        <v>14</v>
      </c>
      <c r="G93" s="2" t="s">
        <v>283</v>
      </c>
      <c r="I93"/>
      <c r="J93">
        <f>COUNTIF($A$2:A93,A93)</f>
        <v>1</v>
      </c>
      <c r="K93">
        <f>COUNTIFS($A$2:A93,A93,$D$2:D93,D93)</f>
        <v>1</v>
      </c>
    </row>
    <row r="94" ht="14.25" customHeight="1" spans="1:11">
      <c r="A94" s="2" t="s">
        <v>284</v>
      </c>
      <c r="B94" s="2" t="str">
        <f>TRIM(A94)</f>
        <v>Corporation Primary School</v>
      </c>
      <c r="C94" s="2" t="str">
        <f t="shared" si="1"/>
        <v>Corporation Primary School</v>
      </c>
      <c r="D94" s="2" t="s">
        <v>12</v>
      </c>
      <c r="E94" s="2" t="s">
        <v>285</v>
      </c>
      <c r="F94" s="2" t="s">
        <v>14</v>
      </c>
      <c r="G94" s="2" t="s">
        <v>85</v>
      </c>
      <c r="I94"/>
      <c r="J94">
        <f>COUNTIF($A$2:A94,A94)</f>
        <v>1</v>
      </c>
      <c r="K94">
        <f>COUNTIFS($A$2:A94,A94,$D$2:D94,D94)</f>
        <v>1</v>
      </c>
    </row>
    <row r="95" ht="14.25" customHeight="1" spans="1:11">
      <c r="A95" s="2" t="s">
        <v>286</v>
      </c>
      <c r="B95" s="2" t="str">
        <f>TRIM(A95)</f>
        <v>Crescent Girls' School</v>
      </c>
      <c r="C95" s="2" t="str">
        <f t="shared" si="1"/>
        <v>Crescent Girls' School</v>
      </c>
      <c r="D95" s="2" t="s">
        <v>30</v>
      </c>
      <c r="E95" s="2" t="s">
        <v>287</v>
      </c>
      <c r="F95" s="2" t="s">
        <v>32</v>
      </c>
      <c r="G95" s="2">
        <v>335</v>
      </c>
      <c r="I95"/>
      <c r="J95">
        <f>COUNTIF($A$2:A95,A95)</f>
        <v>1</v>
      </c>
      <c r="K95">
        <f>COUNTIFS($A$2:A95,A95,$D$2:D95,D95)</f>
        <v>1</v>
      </c>
    </row>
    <row r="96" ht="14.25" customHeight="1" spans="1:11">
      <c r="A96" s="2" t="s">
        <v>288</v>
      </c>
      <c r="B96" s="2" t="str">
        <f>TRIM(A96)</f>
        <v>Crest Secondary School</v>
      </c>
      <c r="C96" s="2" t="str">
        <f t="shared" si="1"/>
        <v>Crest Secondary School</v>
      </c>
      <c r="D96" s="2" t="s">
        <v>12</v>
      </c>
      <c r="E96" s="2" t="s">
        <v>289</v>
      </c>
      <c r="F96" s="2" t="s">
        <v>32</v>
      </c>
      <c r="G96" s="2" t="s">
        <v>290</v>
      </c>
      <c r="I96"/>
      <c r="J96">
        <f>COUNTIF($A$2:A96,A96)</f>
        <v>1</v>
      </c>
      <c r="K96">
        <f>COUNTIFS($A$2:A96,A96,$D$2:D96,D96)</f>
        <v>1</v>
      </c>
    </row>
    <row r="97" ht="14.25" customHeight="1" spans="1:11">
      <c r="A97" s="2" t="s">
        <v>291</v>
      </c>
      <c r="B97" s="2" t="str">
        <f>TRIM(A97)</f>
        <v>Da Qiao Primary School</v>
      </c>
      <c r="C97" s="2" t="str">
        <f t="shared" si="1"/>
        <v>Da Qiao Primary School</v>
      </c>
      <c r="D97" s="2" t="s">
        <v>30</v>
      </c>
      <c r="E97" s="2" t="s">
        <v>292</v>
      </c>
      <c r="F97" s="2" t="s">
        <v>14</v>
      </c>
      <c r="G97" s="2" t="s">
        <v>293</v>
      </c>
      <c r="I97"/>
      <c r="J97">
        <f>COUNTIF($A$2:A97,A97)</f>
        <v>1</v>
      </c>
      <c r="K97">
        <f>COUNTIFS($A$2:A97,A97,$D$2:D97,D97)</f>
        <v>1</v>
      </c>
    </row>
    <row r="98" ht="14.25" customHeight="1" spans="1:11">
      <c r="A98" s="2" t="s">
        <v>294</v>
      </c>
      <c r="B98" s="2" t="str">
        <f>TRIM(A98)</f>
        <v>Damai Secondary School</v>
      </c>
      <c r="C98" s="2" t="str">
        <f t="shared" si="1"/>
        <v>Damai Secondary School</v>
      </c>
      <c r="D98" s="2" t="s">
        <v>17</v>
      </c>
      <c r="E98" s="2" t="s">
        <v>295</v>
      </c>
      <c r="F98" s="2" t="s">
        <v>32</v>
      </c>
      <c r="G98" s="2" t="s">
        <v>296</v>
      </c>
      <c r="I98"/>
      <c r="J98">
        <f>COUNTIF($A$2:A98,A98)</f>
        <v>1</v>
      </c>
      <c r="K98">
        <f>COUNTIFS($A$2:A98,A98,$D$2:D98,D98)</f>
        <v>1</v>
      </c>
    </row>
    <row r="99" ht="14.25" customHeight="1" spans="1:11">
      <c r="A99" s="2" t="s">
        <v>297</v>
      </c>
      <c r="B99" s="2" t="str">
        <f>TRIM(A99)</f>
        <v>Dazhong Primary School</v>
      </c>
      <c r="C99" s="2" t="str">
        <f t="shared" si="1"/>
        <v>Dazhong Primary School</v>
      </c>
      <c r="D99" s="2" t="s">
        <v>12</v>
      </c>
      <c r="E99" s="2" t="s">
        <v>298</v>
      </c>
      <c r="F99" s="2" t="s">
        <v>14</v>
      </c>
      <c r="G99" s="2" t="s">
        <v>299</v>
      </c>
      <c r="I99"/>
      <c r="J99">
        <f>COUNTIF($A$2:A99,A99)</f>
        <v>1</v>
      </c>
      <c r="K99">
        <f>COUNTIFS($A$2:A99,A99,$D$2:D99,D99)</f>
        <v>1</v>
      </c>
    </row>
    <row r="100" ht="14.25" customHeight="1" spans="1:11">
      <c r="A100" s="2" t="s">
        <v>300</v>
      </c>
      <c r="B100" s="2" t="str">
        <f>TRIM(A100)</f>
        <v>De La Salle School</v>
      </c>
      <c r="C100" s="2" t="str">
        <f t="shared" si="1"/>
        <v>De La Salle School</v>
      </c>
      <c r="D100" s="2" t="s">
        <v>12</v>
      </c>
      <c r="E100" s="2" t="s">
        <v>301</v>
      </c>
      <c r="F100" s="2" t="s">
        <v>14</v>
      </c>
      <c r="G100" s="2" t="s">
        <v>302</v>
      </c>
      <c r="I100"/>
      <c r="J100">
        <f>COUNTIF($A$2:A100,A100)</f>
        <v>1</v>
      </c>
      <c r="K100">
        <f>COUNTIFS($A$2:A100,A100,$D$2:D100,D100)</f>
        <v>1</v>
      </c>
    </row>
    <row r="101" ht="14.25" customHeight="1" spans="1:11">
      <c r="A101" s="2" t="s">
        <v>303</v>
      </c>
      <c r="B101" s="2" t="str">
        <f>TRIM(A101)</f>
        <v>Deyi Secondary School</v>
      </c>
      <c r="C101" s="2" t="str">
        <f t="shared" si="1"/>
        <v>Deyi Secondary School</v>
      </c>
      <c r="D101" s="2" t="s">
        <v>20</v>
      </c>
      <c r="E101" s="2" t="s">
        <v>304</v>
      </c>
      <c r="F101" s="2" t="s">
        <v>32</v>
      </c>
      <c r="G101" s="2">
        <v>811</v>
      </c>
      <c r="I101"/>
      <c r="J101">
        <f>COUNTIF($A$2:A101,A101)</f>
        <v>1</v>
      </c>
      <c r="K101">
        <f>COUNTIFS($A$2:A101,A101,$D$2:D101,D101)</f>
        <v>1</v>
      </c>
    </row>
    <row r="102" ht="14.25" customHeight="1" spans="1:11">
      <c r="A102" s="2" t="s">
        <v>305</v>
      </c>
      <c r="B102" s="2" t="str">
        <f>TRIM(A102)</f>
        <v>Dunearn Secondary School</v>
      </c>
      <c r="C102" s="2" t="str">
        <f t="shared" si="1"/>
        <v>Dunearn Secondary School</v>
      </c>
      <c r="D102" s="2" t="s">
        <v>12</v>
      </c>
      <c r="E102" s="2" t="s">
        <v>306</v>
      </c>
      <c r="F102" s="2" t="s">
        <v>32</v>
      </c>
      <c r="G102" s="2">
        <v>811</v>
      </c>
      <c r="I102"/>
      <c r="J102">
        <f>COUNTIF($A$2:A102,A102)</f>
        <v>1</v>
      </c>
      <c r="K102">
        <f>COUNTIFS($A$2:A102,A102,$D$2:D102,D102)</f>
        <v>1</v>
      </c>
    </row>
    <row r="103" ht="14.25" customHeight="1" spans="1:11">
      <c r="A103" s="2" t="s">
        <v>307</v>
      </c>
      <c r="B103" s="2" t="str">
        <f>TRIM(A103)</f>
        <v>Dunman High School</v>
      </c>
      <c r="C103" s="2" t="str">
        <f t="shared" si="1"/>
        <v>Dunman High School</v>
      </c>
      <c r="D103" s="2" t="s">
        <v>17</v>
      </c>
      <c r="E103" s="2" t="s">
        <v>308</v>
      </c>
      <c r="F103" s="2" t="s">
        <v>117</v>
      </c>
      <c r="G103" s="2" t="s">
        <v>309</v>
      </c>
      <c r="I103"/>
      <c r="J103">
        <f>COUNTIF($A$2:A103,A103)</f>
        <v>1</v>
      </c>
      <c r="K103">
        <f>COUNTIFS($A$2:A103,A103,$D$2:D103,D103)</f>
        <v>1</v>
      </c>
    </row>
    <row r="104" ht="14.25" customHeight="1" spans="1:11">
      <c r="A104" s="2" t="s">
        <v>310</v>
      </c>
      <c r="B104" s="2" t="str">
        <f>TRIM(A104)</f>
        <v>Dunman Secondary School</v>
      </c>
      <c r="C104" s="2" t="str">
        <f t="shared" si="1"/>
        <v>Dunman Secondary School</v>
      </c>
      <c r="D104" s="2" t="s">
        <v>17</v>
      </c>
      <c r="E104" s="2" t="s">
        <v>311</v>
      </c>
      <c r="F104" s="2" t="s">
        <v>75</v>
      </c>
      <c r="G104" s="2" t="s">
        <v>212</v>
      </c>
      <c r="H104" s="3" t="s">
        <v>312</v>
      </c>
      <c r="I104" s="1">
        <f>DATEVALUE(H104)</f>
        <v>45178</v>
      </c>
      <c r="J104">
        <f>COUNTIF($A$2:A104,A104)</f>
        <v>1</v>
      </c>
      <c r="K104">
        <f>COUNTIFS($A$2:A104,A104,$D$2:D104,D104)</f>
        <v>1</v>
      </c>
    </row>
    <row r="105" ht="14.25" customHeight="1" spans="1:11">
      <c r="A105" s="2" t="s">
        <v>313</v>
      </c>
      <c r="B105" s="2" t="str">
        <f>TRIM(A105)</f>
        <v>East Coast Primary School</v>
      </c>
      <c r="C105" s="2" t="str">
        <f t="shared" si="1"/>
        <v>East Coast Primary School</v>
      </c>
      <c r="D105" s="2" t="s">
        <v>17</v>
      </c>
      <c r="E105" s="2" t="s">
        <v>314</v>
      </c>
      <c r="F105" s="2" t="s">
        <v>14</v>
      </c>
      <c r="G105" s="2" t="s">
        <v>315</v>
      </c>
      <c r="I105"/>
      <c r="J105">
        <f>COUNTIF($A$2:A105,A105)</f>
        <v>1</v>
      </c>
      <c r="K105">
        <f>COUNTIFS($A$2:A105,A105,$D$2:D105,D105)</f>
        <v>1</v>
      </c>
    </row>
    <row r="106" ht="14.25" customHeight="1" spans="1:11">
      <c r="A106" s="2" t="s">
        <v>316</v>
      </c>
      <c r="B106" s="2" t="str">
        <f>TRIM(A106)</f>
        <v>EAST SPRING PRIMARY SCHOOL</v>
      </c>
      <c r="C106" s="2" t="str">
        <f t="shared" si="1"/>
        <v>East Spring Primary School</v>
      </c>
      <c r="D106" s="2" t="s">
        <v>17</v>
      </c>
      <c r="E106" s="2" t="s">
        <v>317</v>
      </c>
      <c r="F106" s="2" t="s">
        <v>14</v>
      </c>
      <c r="G106" s="2" t="s">
        <v>318</v>
      </c>
      <c r="I106"/>
      <c r="J106">
        <f>COUNTIF($A$2:A106,A106)</f>
        <v>1</v>
      </c>
      <c r="K106">
        <f>COUNTIFS($A$2:A106,A106,$D$2:D106,D106)</f>
        <v>1</v>
      </c>
    </row>
    <row r="107" ht="14.25" customHeight="1" spans="1:11">
      <c r="A107" s="2" t="s">
        <v>319</v>
      </c>
      <c r="B107" s="2" t="str">
        <f>TRIM(A107)</f>
        <v>East Spring Secondary School</v>
      </c>
      <c r="C107" s="2" t="str">
        <f t="shared" si="1"/>
        <v>East Spring Secondary School</v>
      </c>
      <c r="D107" s="2" t="s">
        <v>17</v>
      </c>
      <c r="E107" s="2" t="s">
        <v>320</v>
      </c>
      <c r="F107" s="2" t="s">
        <v>32</v>
      </c>
      <c r="G107" s="2" t="s">
        <v>321</v>
      </c>
      <c r="I107"/>
      <c r="J107">
        <f>COUNTIF($A$2:A107,A107)</f>
        <v>1</v>
      </c>
      <c r="K107">
        <f>COUNTIFS($A$2:A107,A107,$D$2:D107,D107)</f>
        <v>1</v>
      </c>
    </row>
    <row r="108" ht="14.25" customHeight="1" spans="1:11">
      <c r="A108" s="2" t="s">
        <v>322</v>
      </c>
      <c r="B108" s="2" t="str">
        <f>TRIM(A108)</f>
        <v>East View Primary School</v>
      </c>
      <c r="C108" s="2" t="str">
        <f t="shared" si="1"/>
        <v>East View Primary School</v>
      </c>
      <c r="D108" s="2" t="s">
        <v>17</v>
      </c>
      <c r="E108" s="2" t="s">
        <v>323</v>
      </c>
      <c r="F108" s="2" t="s">
        <v>14</v>
      </c>
      <c r="G108" s="2" t="s">
        <v>324</v>
      </c>
      <c r="I108"/>
      <c r="J108">
        <f>COUNTIF($A$2:A108,A108)</f>
        <v>1</v>
      </c>
      <c r="K108">
        <f>COUNTIFS($A$2:A108,A108,$D$2:D108,D108)</f>
        <v>1</v>
      </c>
    </row>
    <row r="109" ht="14.25" customHeight="1" spans="1:11">
      <c r="A109" s="2" t="s">
        <v>325</v>
      </c>
      <c r="B109" s="2" t="str">
        <f>TRIM(A109)</f>
        <v>East View Secondary School</v>
      </c>
      <c r="C109" s="2" t="str">
        <f t="shared" si="1"/>
        <v>East View Secondary School</v>
      </c>
      <c r="D109" s="2" t="s">
        <v>17</v>
      </c>
      <c r="E109" s="2" t="s">
        <v>326</v>
      </c>
      <c r="F109" s="2" t="s">
        <v>32</v>
      </c>
      <c r="G109" s="2" t="s">
        <v>327</v>
      </c>
      <c r="I109"/>
      <c r="J109">
        <f>COUNTIF($A$2:A109,A109)</f>
        <v>1</v>
      </c>
      <c r="K109">
        <f>COUNTIFS($A$2:A109,A109,$D$2:D109,D109)</f>
        <v>1</v>
      </c>
    </row>
    <row r="110" ht="14.25" customHeight="1" spans="1:11">
      <c r="A110" s="2" t="s">
        <v>328</v>
      </c>
      <c r="B110" s="2" t="str">
        <f>TRIM(A110)</f>
        <v>Edgefield Primary School</v>
      </c>
      <c r="C110" s="2" t="str">
        <f t="shared" si="1"/>
        <v>Edgefield Primary School</v>
      </c>
      <c r="D110" s="2" t="s">
        <v>20</v>
      </c>
      <c r="E110" s="2" t="s">
        <v>329</v>
      </c>
      <c r="F110" s="2" t="s">
        <v>14</v>
      </c>
      <c r="G110" s="2">
        <v>50</v>
      </c>
      <c r="I110"/>
      <c r="J110">
        <f>COUNTIF($A$2:A110,A110)</f>
        <v>1</v>
      </c>
      <c r="K110">
        <f>COUNTIFS($A$2:A110,A110,$D$2:D110,D110)</f>
        <v>1</v>
      </c>
    </row>
    <row r="111" ht="14.25" customHeight="1" spans="1:11">
      <c r="A111" s="2" t="s">
        <v>330</v>
      </c>
      <c r="B111" s="2" t="str">
        <f>TRIM(A111)</f>
        <v>EDGEFIELD SECONDARY SCHOOL</v>
      </c>
      <c r="C111" s="2" t="str">
        <f t="shared" si="1"/>
        <v>Edgefield Secondary School</v>
      </c>
      <c r="D111" s="2" t="s">
        <v>20</v>
      </c>
      <c r="E111" s="2" t="s">
        <v>331</v>
      </c>
      <c r="F111" s="2" t="s">
        <v>32</v>
      </c>
      <c r="G111" s="2" t="s">
        <v>332</v>
      </c>
      <c r="I111"/>
      <c r="J111">
        <f>COUNTIF($A$2:A111,A111)</f>
        <v>1</v>
      </c>
      <c r="K111">
        <f>COUNTIFS($A$2:A111,A111,$D$2:D111,D111)</f>
        <v>1</v>
      </c>
    </row>
    <row r="112" ht="14.25" customHeight="1" spans="1:11">
      <c r="A112" s="2" t="s">
        <v>333</v>
      </c>
      <c r="B112" s="2" t="str">
        <f>TRIM(A112)</f>
        <v>Elias Park Primary School</v>
      </c>
      <c r="C112" s="2" t="str">
        <f t="shared" si="1"/>
        <v>Elias Park Primary School</v>
      </c>
      <c r="D112" s="2" t="s">
        <v>17</v>
      </c>
      <c r="E112" s="2" t="s">
        <v>334</v>
      </c>
      <c r="F112" s="2" t="s">
        <v>14</v>
      </c>
      <c r="G112" s="2" t="s">
        <v>335</v>
      </c>
      <c r="I112"/>
      <c r="J112">
        <f>COUNTIF($A$2:A112,A112)</f>
        <v>1</v>
      </c>
      <c r="K112">
        <f>COUNTIFS($A$2:A112,A112,$D$2:D112,D112)</f>
        <v>1</v>
      </c>
    </row>
    <row r="113" ht="14.25" customHeight="1" spans="1:11">
      <c r="A113" s="2" t="s">
        <v>336</v>
      </c>
      <c r="B113" s="2" t="str">
        <f>TRIM(A113)</f>
        <v>Endeavour Primary School</v>
      </c>
      <c r="C113" s="2" t="str">
        <f t="shared" si="1"/>
        <v>Endeavour Primary School</v>
      </c>
      <c r="D113" s="2" t="s">
        <v>20</v>
      </c>
      <c r="E113" s="2" t="s">
        <v>337</v>
      </c>
      <c r="F113" s="2" t="s">
        <v>14</v>
      </c>
      <c r="G113" s="2" t="s">
        <v>338</v>
      </c>
      <c r="I113"/>
      <c r="J113">
        <f>COUNTIF($A$2:A113,A113)</f>
        <v>1</v>
      </c>
      <c r="K113">
        <f>COUNTIFS($A$2:A113,A113,$D$2:D113,D113)</f>
        <v>1</v>
      </c>
    </row>
    <row r="114" ht="14.25" customHeight="1" spans="1:11">
      <c r="A114" s="2" t="s">
        <v>339</v>
      </c>
      <c r="B114" s="2" t="str">
        <f>TRIM(A114)</f>
        <v>Eunoia Junior College</v>
      </c>
      <c r="C114" s="2" t="str">
        <f t="shared" si="1"/>
        <v>Eunoia Junior College</v>
      </c>
      <c r="D114" s="2" t="s">
        <v>20</v>
      </c>
      <c r="E114" s="2" t="s">
        <v>340</v>
      </c>
      <c r="F114" s="2" t="s">
        <v>57</v>
      </c>
      <c r="G114" s="2" t="s">
        <v>341</v>
      </c>
      <c r="I114"/>
      <c r="J114">
        <f>COUNTIF($A$2:A114,A114)</f>
        <v>1</v>
      </c>
      <c r="K114">
        <f>COUNTIFS($A$2:A114,A114,$D$2:D114,D114)</f>
        <v>1</v>
      </c>
    </row>
    <row r="115" ht="14.25" customHeight="1" spans="1:11">
      <c r="A115" s="2" t="s">
        <v>342</v>
      </c>
      <c r="B115" s="2" t="str">
        <f>TRIM(A115)</f>
        <v>Eunos Primary School</v>
      </c>
      <c r="C115" s="2" t="str">
        <f t="shared" si="1"/>
        <v>Eunos Primary School</v>
      </c>
      <c r="D115" s="2" t="s">
        <v>17</v>
      </c>
      <c r="E115" s="2" t="s">
        <v>343</v>
      </c>
      <c r="F115" s="2" t="s">
        <v>14</v>
      </c>
      <c r="G115" s="2" t="s">
        <v>344</v>
      </c>
      <c r="I115"/>
      <c r="J115">
        <f>COUNTIF($A$2:A115,A115)</f>
        <v>1</v>
      </c>
      <c r="K115">
        <f>COUNTIFS($A$2:A115,A115,$D$2:D115,D115)</f>
        <v>1</v>
      </c>
    </row>
    <row r="116" ht="14.25" customHeight="1" spans="1:11">
      <c r="A116" s="2" t="s">
        <v>345</v>
      </c>
      <c r="B116" s="2" t="str">
        <f>TRIM(A116)</f>
        <v>Evergreen Primary School</v>
      </c>
      <c r="C116" s="2" t="str">
        <f t="shared" si="1"/>
        <v>Evergreen Primary School</v>
      </c>
      <c r="D116" s="2" t="s">
        <v>20</v>
      </c>
      <c r="E116" s="2" t="s">
        <v>346</v>
      </c>
      <c r="F116" s="2" t="s">
        <v>14</v>
      </c>
      <c r="G116" s="2" t="s">
        <v>347</v>
      </c>
      <c r="I116"/>
      <c r="J116">
        <f>COUNTIF($A$2:A116,A116)</f>
        <v>1</v>
      </c>
      <c r="K116">
        <f>COUNTIFS($A$2:A116,A116,$D$2:D116,D116)</f>
        <v>1</v>
      </c>
    </row>
    <row r="117" ht="14.25" customHeight="1" spans="1:11">
      <c r="A117" s="2" t="s">
        <v>348</v>
      </c>
      <c r="B117" s="2" t="str">
        <f>TRIM(A117)</f>
        <v>Evergreen Secondary School</v>
      </c>
      <c r="C117" s="2" t="str">
        <f t="shared" si="1"/>
        <v>Evergreen Secondary School</v>
      </c>
      <c r="D117" s="2" t="s">
        <v>20</v>
      </c>
      <c r="E117" s="2" t="s">
        <v>349</v>
      </c>
      <c r="F117" s="2" t="s">
        <v>32</v>
      </c>
      <c r="G117" s="2" t="s">
        <v>350</v>
      </c>
      <c r="I117"/>
      <c r="J117">
        <f>COUNTIF($A$2:A117,A117)</f>
        <v>1</v>
      </c>
      <c r="K117">
        <f>COUNTIFS($A$2:A117,A117,$D$2:D117,D117)</f>
        <v>1</v>
      </c>
    </row>
    <row r="118" ht="14.25" customHeight="1" spans="1:11">
      <c r="A118" s="2" t="s">
        <v>351</v>
      </c>
      <c r="B118" s="2" t="str">
        <f>TRIM(A118)</f>
        <v>Fairfield Methodist School (Primary)</v>
      </c>
      <c r="C118" s="2" t="str">
        <f t="shared" si="1"/>
        <v>Fairfield Methodist School (Primary)</v>
      </c>
      <c r="D118" s="2" t="s">
        <v>30</v>
      </c>
      <c r="E118" s="2" t="s">
        <v>352</v>
      </c>
      <c r="F118" s="2" t="s">
        <v>14</v>
      </c>
      <c r="G118" s="2" t="s">
        <v>353</v>
      </c>
      <c r="I118"/>
      <c r="J118">
        <f>COUNTIF($A$2:A118,A118)</f>
        <v>1</v>
      </c>
      <c r="K118">
        <f>COUNTIFS($A$2:A118,A118,$D$2:D118,D118)</f>
        <v>1</v>
      </c>
    </row>
    <row r="119" ht="14.25" customHeight="1" spans="1:11">
      <c r="A119" s="2" t="s">
        <v>354</v>
      </c>
      <c r="B119" s="2" t="str">
        <f>TRIM(A119)</f>
        <v>Fairfield Methodist School (Secondary)</v>
      </c>
      <c r="C119" s="2" t="str">
        <f t="shared" si="1"/>
        <v>Fairfield Methodist School (Secondary)</v>
      </c>
      <c r="D119" s="2" t="s">
        <v>30</v>
      </c>
      <c r="E119" s="2" t="s">
        <v>355</v>
      </c>
      <c r="F119" s="2" t="s">
        <v>32</v>
      </c>
      <c r="G119" s="2" t="s">
        <v>356</v>
      </c>
      <c r="I119"/>
      <c r="J119">
        <f>COUNTIF($A$2:A119,A119)</f>
        <v>1</v>
      </c>
      <c r="K119">
        <f>COUNTIFS($A$2:A119,A119,$D$2:D119,D119)</f>
        <v>1</v>
      </c>
    </row>
    <row r="120" ht="14.25" customHeight="1" spans="1:11">
      <c r="A120" s="2" t="s">
        <v>357</v>
      </c>
      <c r="B120" s="2" t="str">
        <f>TRIM(A120)</f>
        <v>Fajar Secondary School</v>
      </c>
      <c r="C120" s="2" t="str">
        <f t="shared" si="1"/>
        <v>Fajar Secondary School</v>
      </c>
      <c r="D120" s="2" t="s">
        <v>12</v>
      </c>
      <c r="E120" s="2" t="s">
        <v>358</v>
      </c>
      <c r="F120" s="2" t="s">
        <v>32</v>
      </c>
      <c r="G120" s="2">
        <v>911</v>
      </c>
      <c r="I120"/>
      <c r="J120">
        <f>COUNTIF($A$2:A120,A120)</f>
        <v>1</v>
      </c>
      <c r="K120">
        <f>COUNTIFS($A$2:A120,A120,$D$2:D120,D120)</f>
        <v>1</v>
      </c>
    </row>
    <row r="121" ht="14.25" customHeight="1" spans="1:11">
      <c r="A121" s="2" t="s">
        <v>359</v>
      </c>
      <c r="B121" s="2" t="str">
        <f>TRIM(A121)</f>
        <v>Farrer Park Primary School</v>
      </c>
      <c r="C121" s="2" t="str">
        <f t="shared" si="1"/>
        <v>Farrer Park Primary School</v>
      </c>
      <c r="D121" s="2" t="s">
        <v>30</v>
      </c>
      <c r="E121" s="2" t="s">
        <v>360</v>
      </c>
      <c r="F121" s="2" t="s">
        <v>14</v>
      </c>
      <c r="G121" s="2">
        <v>302</v>
      </c>
      <c r="I121"/>
      <c r="J121">
        <f>COUNTIF($A$2:A121,A121)</f>
        <v>1</v>
      </c>
      <c r="K121">
        <f>COUNTIFS($A$2:A121,A121,$D$2:D121,D121)</f>
        <v>1</v>
      </c>
    </row>
    <row r="122" ht="14.25" customHeight="1" spans="1:11">
      <c r="A122" s="2" t="s">
        <v>361</v>
      </c>
      <c r="B122" s="2" t="str">
        <f>TRIM(A122)</f>
        <v>Fengshan Primary School</v>
      </c>
      <c r="C122" s="2" t="str">
        <f t="shared" si="1"/>
        <v>Fengshan Primary School</v>
      </c>
      <c r="D122" s="2" t="s">
        <v>17</v>
      </c>
      <c r="E122" s="2" t="s">
        <v>362</v>
      </c>
      <c r="F122" s="2" t="s">
        <v>14</v>
      </c>
      <c r="G122" s="2" t="s">
        <v>363</v>
      </c>
      <c r="I122"/>
      <c r="J122">
        <f>COUNTIF($A$2:A122,A122)</f>
        <v>1</v>
      </c>
      <c r="K122">
        <f>COUNTIFS($A$2:A122,A122,$D$2:D122,D122)</f>
        <v>1</v>
      </c>
    </row>
    <row r="123" ht="14.25" customHeight="1" spans="1:11">
      <c r="A123" s="2" t="s">
        <v>364</v>
      </c>
      <c r="B123" s="2" t="str">
        <f>TRIM(A123)</f>
        <v>Fern Green Primary School</v>
      </c>
      <c r="C123" s="2" t="str">
        <f t="shared" si="1"/>
        <v>Fern Green Primary School</v>
      </c>
      <c r="D123" s="2" t="s">
        <v>17</v>
      </c>
      <c r="E123" s="2" t="s">
        <v>365</v>
      </c>
      <c r="F123" s="2" t="s">
        <v>14</v>
      </c>
      <c r="G123" s="2" t="s">
        <v>366</v>
      </c>
      <c r="I123"/>
      <c r="J123">
        <f>COUNTIF($A$2:A123,A123)</f>
        <v>1</v>
      </c>
      <c r="K123">
        <f>COUNTIFS($A$2:A123,A123,$D$2:D123,D123)</f>
        <v>1</v>
      </c>
    </row>
    <row r="124" ht="14.25" customHeight="1" spans="1:11">
      <c r="A124" s="2" t="s">
        <v>367</v>
      </c>
      <c r="B124" s="2" t="str">
        <f>TRIM(A124)</f>
        <v>First Toa Payoh Primary School</v>
      </c>
      <c r="C124" s="2" t="str">
        <f t="shared" si="1"/>
        <v>First Toa Payoh Primary School</v>
      </c>
      <c r="D124" s="2" t="s">
        <v>30</v>
      </c>
      <c r="E124" s="2" t="s">
        <v>368</v>
      </c>
      <c r="F124" s="2" t="s">
        <v>14</v>
      </c>
      <c r="G124" s="2" t="s">
        <v>369</v>
      </c>
      <c r="I124"/>
      <c r="J124">
        <f>COUNTIF($A$2:A124,A124)</f>
        <v>1</v>
      </c>
      <c r="K124">
        <f>COUNTIFS($A$2:A124,A124,$D$2:D124,D124)</f>
        <v>1</v>
      </c>
    </row>
    <row r="125" ht="14.25" customHeight="1" spans="1:11">
      <c r="A125" s="2" t="s">
        <v>370</v>
      </c>
      <c r="B125" s="2" t="str">
        <f>TRIM(A125)</f>
        <v>Frontier Primary School</v>
      </c>
      <c r="C125" s="2" t="str">
        <f t="shared" si="1"/>
        <v>Frontier Primary School</v>
      </c>
      <c r="D125" s="2" t="s">
        <v>12</v>
      </c>
      <c r="E125" s="2" t="s">
        <v>371</v>
      </c>
      <c r="F125" s="2" t="s">
        <v>14</v>
      </c>
      <c r="G125" s="2" t="s">
        <v>372</v>
      </c>
      <c r="I125"/>
      <c r="J125">
        <f>COUNTIF($A$2:A125,A125)</f>
        <v>1</v>
      </c>
      <c r="K125">
        <f>COUNTIFS($A$2:A125,A125,$D$2:D125,D125)</f>
        <v>1</v>
      </c>
    </row>
    <row r="126" ht="14.25" customHeight="1" spans="1:11">
      <c r="A126" s="2" t="s">
        <v>373</v>
      </c>
      <c r="B126" s="2" t="str">
        <f>TRIM(A126)</f>
        <v>Fuchun Primary School</v>
      </c>
      <c r="C126" s="2" t="str">
        <f t="shared" si="1"/>
        <v>Fuchun Primary School</v>
      </c>
      <c r="D126" s="2" t="s">
        <v>20</v>
      </c>
      <c r="E126" s="2" t="s">
        <v>374</v>
      </c>
      <c r="F126" s="2" t="s">
        <v>14</v>
      </c>
      <c r="G126" s="2" t="s">
        <v>375</v>
      </c>
      <c r="I126"/>
      <c r="J126">
        <f>COUNTIF($A$2:A126,A126)</f>
        <v>1</v>
      </c>
      <c r="K126">
        <f>COUNTIFS($A$2:A126,A126,$D$2:D126,D126)</f>
        <v>1</v>
      </c>
    </row>
    <row r="127" ht="14.25" customHeight="1" spans="1:11">
      <c r="A127" s="2" t="s">
        <v>376</v>
      </c>
      <c r="B127" s="2" t="str">
        <f>TRIM(A127)</f>
        <v>Fuchun Secondary School</v>
      </c>
      <c r="C127" s="2" t="str">
        <f t="shared" si="1"/>
        <v>Fuchun Secondary School</v>
      </c>
      <c r="D127" s="2" t="s">
        <v>20</v>
      </c>
      <c r="E127" s="2" t="s">
        <v>377</v>
      </c>
      <c r="F127" s="2" t="s">
        <v>32</v>
      </c>
      <c r="G127" s="2" t="s">
        <v>378</v>
      </c>
      <c r="I127"/>
      <c r="J127">
        <f>COUNTIF($A$2:A127,A127)</f>
        <v>1</v>
      </c>
      <c r="K127">
        <f>COUNTIFS($A$2:A127,A127,$D$2:D127,D127)</f>
        <v>1</v>
      </c>
    </row>
    <row r="128" ht="14.25" customHeight="1" spans="1:11">
      <c r="A128" s="2" t="s">
        <v>379</v>
      </c>
      <c r="B128" s="2" t="str">
        <f>TRIM(A128)</f>
        <v>Fuhua Primary School</v>
      </c>
      <c r="C128" s="2" t="str">
        <f t="shared" si="1"/>
        <v>Fuhua Primary School</v>
      </c>
      <c r="D128" s="2" t="s">
        <v>12</v>
      </c>
      <c r="E128" s="2" t="s">
        <v>380</v>
      </c>
      <c r="F128" s="2" t="s">
        <v>14</v>
      </c>
      <c r="G128" s="2" t="s">
        <v>381</v>
      </c>
      <c r="I128"/>
      <c r="J128">
        <f>COUNTIF($A$2:A128,A128)</f>
        <v>1</v>
      </c>
      <c r="K128">
        <f>COUNTIFS($A$2:A128,A128,$D$2:D128,D128)</f>
        <v>1</v>
      </c>
    </row>
    <row r="129" ht="14.25" customHeight="1" spans="1:11">
      <c r="A129" s="2" t="s">
        <v>382</v>
      </c>
      <c r="B129" s="2" t="str">
        <f>TRIM(A129)</f>
        <v>Fuhua Secondary School</v>
      </c>
      <c r="C129" s="2" t="str">
        <f t="shared" si="1"/>
        <v>Fuhua Secondary School</v>
      </c>
      <c r="D129" s="2" t="s">
        <v>12</v>
      </c>
      <c r="E129" s="2" t="s">
        <v>383</v>
      </c>
      <c r="F129" s="2" t="s">
        <v>32</v>
      </c>
      <c r="G129" s="2" t="s">
        <v>384</v>
      </c>
      <c r="I129"/>
      <c r="J129">
        <f>COUNTIF($A$2:A129,A129)</f>
        <v>1</v>
      </c>
      <c r="K129">
        <f>COUNTIFS($A$2:A129,A129,$D$2:D129,D129)</f>
        <v>1</v>
      </c>
    </row>
    <row r="130" ht="14.25" customHeight="1" spans="1:11">
      <c r="A130" s="2" t="s">
        <v>385</v>
      </c>
      <c r="B130" s="2" t="str">
        <f>TRIM(A130)</f>
        <v>GAN ENG SENG PRIMARY SCHOOL</v>
      </c>
      <c r="C130" s="2" t="str">
        <f t="shared" si="1"/>
        <v>Gan Eng Seng Primary School</v>
      </c>
      <c r="D130" s="2" t="s">
        <v>30</v>
      </c>
      <c r="E130" s="2" t="s">
        <v>386</v>
      </c>
      <c r="F130" s="2" t="s">
        <v>14</v>
      </c>
      <c r="G130" s="2" t="s">
        <v>387</v>
      </c>
      <c r="I130"/>
      <c r="J130">
        <f>COUNTIF($A$2:A130,A130)</f>
        <v>1</v>
      </c>
      <c r="K130">
        <f>COUNTIFS($A$2:A130,A130,$D$2:D130,D130)</f>
        <v>1</v>
      </c>
    </row>
    <row r="131" ht="14.25" customHeight="1" spans="1:11">
      <c r="A131" s="2" t="s">
        <v>388</v>
      </c>
      <c r="B131" s="2" t="str">
        <f>TRIM(A131)</f>
        <v>Gan Eng Seng School</v>
      </c>
      <c r="C131" s="2" t="str">
        <f t="shared" ref="C131:C194" si="2">PROPER(B131)</f>
        <v>Gan Eng Seng School</v>
      </c>
      <c r="D131" s="2" t="s">
        <v>30</v>
      </c>
      <c r="E131" s="2" t="s">
        <v>389</v>
      </c>
      <c r="F131" s="2" t="s">
        <v>32</v>
      </c>
      <c r="G131" s="2" t="s">
        <v>390</v>
      </c>
      <c r="I131"/>
      <c r="J131">
        <f>COUNTIF($A$2:A131,A131)</f>
        <v>1</v>
      </c>
      <c r="K131">
        <f>COUNTIFS($A$2:A131,A131,$D$2:D131,D131)</f>
        <v>1</v>
      </c>
    </row>
    <row r="132" ht="14.25" customHeight="1" spans="1:11">
      <c r="A132" s="2" t="s">
        <v>391</v>
      </c>
      <c r="B132" s="2" t="str">
        <f>TRIM(A132)</f>
        <v>Geylang Methodist School (Primary)</v>
      </c>
      <c r="C132" s="2" t="str">
        <f t="shared" si="2"/>
        <v>Geylang Methodist School (Primary)</v>
      </c>
      <c r="D132" s="2" t="s">
        <v>17</v>
      </c>
      <c r="E132" s="2" t="s">
        <v>392</v>
      </c>
      <c r="F132" s="2" t="s">
        <v>14</v>
      </c>
      <c r="G132" s="2" t="s">
        <v>393</v>
      </c>
      <c r="I132"/>
      <c r="J132">
        <f>COUNTIF($A$2:A132,A132)</f>
        <v>1</v>
      </c>
      <c r="K132">
        <f>COUNTIFS($A$2:A132,A132,$D$2:D132,D132)</f>
        <v>1</v>
      </c>
    </row>
    <row r="133" ht="14.25" customHeight="1" spans="1:11">
      <c r="A133" s="2" t="s">
        <v>394</v>
      </c>
      <c r="B133" s="2" t="str">
        <f>TRIM(A133)</f>
        <v>Geylang Methodist School (Secondary)</v>
      </c>
      <c r="C133" s="2" t="str">
        <f t="shared" si="2"/>
        <v>Geylang Methodist School (Secondary)</v>
      </c>
      <c r="D133" s="2" t="s">
        <v>17</v>
      </c>
      <c r="E133" s="2" t="s">
        <v>395</v>
      </c>
      <c r="F133" s="2" t="s">
        <v>32</v>
      </c>
      <c r="G133" s="2" t="s">
        <v>396</v>
      </c>
      <c r="I133"/>
      <c r="J133">
        <f>COUNTIF($A$2:A133,A133)</f>
        <v>1</v>
      </c>
      <c r="K133">
        <f>COUNTIFS($A$2:A133,A133,$D$2:D133,D133)</f>
        <v>1</v>
      </c>
    </row>
    <row r="134" ht="14.25" customHeight="1" spans="1:11">
      <c r="A134" s="2" t="s">
        <v>397</v>
      </c>
      <c r="B134" s="2" t="str">
        <f>TRIM(A134)</f>
        <v>Gongshang Primary School</v>
      </c>
      <c r="C134" s="2" t="str">
        <f t="shared" si="2"/>
        <v>Gongshang Primary School</v>
      </c>
      <c r="D134" s="2" t="s">
        <v>17</v>
      </c>
      <c r="E134" s="2" t="s">
        <v>398</v>
      </c>
      <c r="F134" s="2" t="s">
        <v>14</v>
      </c>
      <c r="G134" s="2" t="s">
        <v>399</v>
      </c>
      <c r="I134"/>
      <c r="J134">
        <f>COUNTIF($A$2:A134,A134)</f>
        <v>1</v>
      </c>
      <c r="K134">
        <f>COUNTIFS($A$2:A134,A134,$D$2:D134,D134)</f>
        <v>1</v>
      </c>
    </row>
    <row r="135" ht="14.25" customHeight="1" spans="1:11">
      <c r="A135" s="2" t="s">
        <v>400</v>
      </c>
      <c r="B135" s="2" t="str">
        <f>TRIM(A135)</f>
        <v>Greendale Primary School</v>
      </c>
      <c r="C135" s="2" t="str">
        <f t="shared" si="2"/>
        <v>Greendale Primary School</v>
      </c>
      <c r="D135" s="2" t="s">
        <v>20</v>
      </c>
      <c r="E135" s="2" t="s">
        <v>401</v>
      </c>
      <c r="F135" s="2" t="s">
        <v>14</v>
      </c>
      <c r="G135" s="2" t="s">
        <v>402</v>
      </c>
      <c r="I135"/>
      <c r="J135">
        <f>COUNTIF($A$2:A135,A135)</f>
        <v>1</v>
      </c>
      <c r="K135">
        <f>COUNTIFS($A$2:A135,A135,$D$2:D135,D135)</f>
        <v>1</v>
      </c>
    </row>
    <row r="136" ht="14.25" customHeight="1" spans="1:11">
      <c r="A136" s="2" t="s">
        <v>403</v>
      </c>
      <c r="B136" s="2" t="str">
        <f>TRIM(A136)</f>
        <v>Greendale Secondary School</v>
      </c>
      <c r="C136" s="2" t="str">
        <f t="shared" si="2"/>
        <v>Greendale Secondary School</v>
      </c>
      <c r="D136" s="2" t="s">
        <v>20</v>
      </c>
      <c r="E136" s="2" t="s">
        <v>404</v>
      </c>
      <c r="F136" s="2" t="s">
        <v>32</v>
      </c>
      <c r="G136" s="2" t="s">
        <v>405</v>
      </c>
      <c r="I136"/>
      <c r="J136">
        <f>COUNTIF($A$2:A136,A136)</f>
        <v>1</v>
      </c>
      <c r="K136">
        <f>COUNTIFS($A$2:A136,A136,$D$2:D136,D136)</f>
        <v>1</v>
      </c>
    </row>
    <row r="137" ht="14.25" customHeight="1" spans="1:11">
      <c r="A137" s="2" t="s">
        <v>406</v>
      </c>
      <c r="B137" s="2" t="str">
        <f>TRIM(A137)</f>
        <v>Greenridge Primary School</v>
      </c>
      <c r="C137" s="2" t="str">
        <f t="shared" si="2"/>
        <v>Greenridge Primary School</v>
      </c>
      <c r="D137" s="2" t="s">
        <v>12</v>
      </c>
      <c r="E137" s="2" t="s">
        <v>407</v>
      </c>
      <c r="F137" s="2" t="s">
        <v>14</v>
      </c>
      <c r="G137" s="2" t="s">
        <v>72</v>
      </c>
      <c r="I137"/>
      <c r="J137">
        <f>COUNTIF($A$2:A137,A137)</f>
        <v>1</v>
      </c>
      <c r="K137">
        <f>COUNTIFS($A$2:A137,A137,$D$2:D137,D137)</f>
        <v>1</v>
      </c>
    </row>
    <row r="138" ht="14.25" customHeight="1" spans="1:11">
      <c r="A138" s="2" t="s">
        <v>408</v>
      </c>
      <c r="B138" s="2" t="str">
        <f>TRIM(A138)</f>
        <v>Greenridge Secondary School</v>
      </c>
      <c r="C138" s="2" t="str">
        <f t="shared" si="2"/>
        <v>Greenridge Secondary School</v>
      </c>
      <c r="D138" s="2" t="s">
        <v>12</v>
      </c>
      <c r="E138" s="2" t="s">
        <v>409</v>
      </c>
      <c r="F138" s="2" t="s">
        <v>32</v>
      </c>
      <c r="G138" s="2" t="s">
        <v>410</v>
      </c>
      <c r="I138"/>
      <c r="J138">
        <f>COUNTIF($A$2:A138,A138)</f>
        <v>1</v>
      </c>
      <c r="K138">
        <f>COUNTIFS($A$2:A138,A138,$D$2:D138,D138)</f>
        <v>1</v>
      </c>
    </row>
    <row r="139" ht="14.25" customHeight="1" spans="1:11">
      <c r="A139" s="2" t="s">
        <v>411</v>
      </c>
      <c r="B139" s="2" t="str">
        <f>TRIM(A139)</f>
        <v>Greenwood Primary School</v>
      </c>
      <c r="C139" s="2" t="str">
        <f t="shared" si="2"/>
        <v>Greenwood Primary School</v>
      </c>
      <c r="D139" s="2" t="s">
        <v>20</v>
      </c>
      <c r="E139" s="2" t="s">
        <v>412</v>
      </c>
      <c r="F139" s="2" t="s">
        <v>14</v>
      </c>
      <c r="I139"/>
      <c r="J139">
        <f>COUNTIF($A$2:A139,A139)</f>
        <v>1</v>
      </c>
      <c r="K139">
        <f>COUNTIFS($A$2:A139,A139,$D$2:D139,D139)</f>
        <v>1</v>
      </c>
    </row>
    <row r="140" ht="14.25" customHeight="1" spans="1:11">
      <c r="A140" s="2" t="s">
        <v>413</v>
      </c>
      <c r="B140" s="2" t="str">
        <f>TRIM(A140)</f>
        <v>Guangyang Primary School</v>
      </c>
      <c r="C140" s="2" t="str">
        <f t="shared" si="2"/>
        <v>Guangyang Primary School</v>
      </c>
      <c r="D140" s="2" t="s">
        <v>30</v>
      </c>
      <c r="E140" s="2" t="s">
        <v>414</v>
      </c>
      <c r="F140" s="2" t="s">
        <v>14</v>
      </c>
      <c r="G140" s="2" t="s">
        <v>415</v>
      </c>
      <c r="I140"/>
      <c r="J140">
        <f>COUNTIF($A$2:A140,A140)</f>
        <v>1</v>
      </c>
      <c r="K140">
        <f>COUNTIFS($A$2:A140,A140,$D$2:D140,D140)</f>
        <v>1</v>
      </c>
    </row>
    <row r="141" ht="14.25" customHeight="1" spans="1:11">
      <c r="A141" s="2" t="s">
        <v>416</v>
      </c>
      <c r="B141" s="2" t="str">
        <f>TRIM(A141)</f>
        <v>Guangyang Secondary School</v>
      </c>
      <c r="C141" s="2" t="str">
        <f t="shared" si="2"/>
        <v>Guangyang Secondary School</v>
      </c>
      <c r="D141" s="2" t="s">
        <v>30</v>
      </c>
      <c r="E141" s="2" t="s">
        <v>417</v>
      </c>
      <c r="F141" s="2" t="s">
        <v>32</v>
      </c>
      <c r="G141" s="2">
        <v>333</v>
      </c>
      <c r="I141"/>
      <c r="J141">
        <f>COUNTIF($A$2:A141,A141)</f>
        <v>1</v>
      </c>
      <c r="K141">
        <f>COUNTIFS($A$2:A141,A141,$D$2:D141,D141)</f>
        <v>1</v>
      </c>
    </row>
    <row r="142" ht="14.25" customHeight="1" spans="1:11">
      <c r="A142" s="2" t="s">
        <v>418</v>
      </c>
      <c r="B142" s="2" t="str">
        <f>TRIM(A142)</f>
        <v>Hai Sing Catholic School</v>
      </c>
      <c r="C142" s="2" t="str">
        <f t="shared" si="2"/>
        <v>Hai Sing Catholic School</v>
      </c>
      <c r="D142" s="2" t="s">
        <v>17</v>
      </c>
      <c r="E142" s="2" t="s">
        <v>419</v>
      </c>
      <c r="F142" s="2" t="s">
        <v>32</v>
      </c>
      <c r="G142" s="2" t="s">
        <v>420</v>
      </c>
      <c r="I142"/>
      <c r="J142">
        <f>COUNTIF($A$2:A142,A142)</f>
        <v>1</v>
      </c>
      <c r="K142">
        <f>COUNTIFS($A$2:A142,A142,$D$2:D142,D142)</f>
        <v>1</v>
      </c>
    </row>
    <row r="143" ht="14.25" customHeight="1" spans="1:11">
      <c r="A143" s="2" t="s">
        <v>421</v>
      </c>
      <c r="B143" s="2" t="str">
        <f>TRIM(A143)</f>
        <v>Haig Girls' School</v>
      </c>
      <c r="C143" s="2" t="str">
        <f t="shared" si="2"/>
        <v>Haig Girls' School</v>
      </c>
      <c r="D143" s="2" t="s">
        <v>17</v>
      </c>
      <c r="E143" s="2" t="s">
        <v>422</v>
      </c>
      <c r="F143" s="2" t="s">
        <v>14</v>
      </c>
      <c r="G143" s="2" t="s">
        <v>423</v>
      </c>
      <c r="I143"/>
      <c r="J143">
        <f>COUNTIF($A$2:A143,A143)</f>
        <v>1</v>
      </c>
      <c r="K143">
        <f>COUNTIFS($A$2:A143,A143,$D$2:D143,D143)</f>
        <v>1</v>
      </c>
    </row>
    <row r="144" ht="14.25" customHeight="1" spans="1:11">
      <c r="A144" s="2" t="s">
        <v>424</v>
      </c>
      <c r="B144" s="2" t="str">
        <f>TRIM(A144)</f>
        <v>Henry Park Primary School</v>
      </c>
      <c r="C144" s="2" t="str">
        <f t="shared" si="2"/>
        <v>Henry Park Primary School</v>
      </c>
      <c r="D144" s="2" t="s">
        <v>12</v>
      </c>
      <c r="E144" s="2" t="s">
        <v>425</v>
      </c>
      <c r="F144" s="2" t="s">
        <v>14</v>
      </c>
      <c r="G144" s="2" t="s">
        <v>426</v>
      </c>
      <c r="I144"/>
      <c r="J144">
        <f>COUNTIF($A$2:A144,A144)</f>
        <v>1</v>
      </c>
      <c r="K144">
        <f>COUNTIFS($A$2:A144,A144,$D$2:D144,D144)</f>
        <v>1</v>
      </c>
    </row>
    <row r="145" ht="14.25" customHeight="1" spans="1:11">
      <c r="A145" s="2" t="s">
        <v>427</v>
      </c>
      <c r="B145" s="2" t="str">
        <f>TRIM(A145)</f>
        <v>Hillgrove Secondary School</v>
      </c>
      <c r="C145" s="2" t="str">
        <f t="shared" si="2"/>
        <v>Hillgrove Secondary School</v>
      </c>
      <c r="D145" s="2" t="s">
        <v>12</v>
      </c>
      <c r="E145" s="2" t="s">
        <v>428</v>
      </c>
      <c r="F145" s="2" t="s">
        <v>32</v>
      </c>
      <c r="G145" s="2" t="s">
        <v>429</v>
      </c>
      <c r="I145"/>
      <c r="J145">
        <f>COUNTIF($A$2:A145,A145)</f>
        <v>1</v>
      </c>
      <c r="K145">
        <f>COUNTIFS($A$2:A145,A145,$D$2:D145,D145)</f>
        <v>1</v>
      </c>
    </row>
    <row r="146" ht="14.25" customHeight="1" spans="1:11">
      <c r="A146" s="2" t="s">
        <v>430</v>
      </c>
      <c r="B146" s="2" t="str">
        <f>TRIM(A146)</f>
        <v>Holy Innocents' High School</v>
      </c>
      <c r="C146" s="2" t="str">
        <f t="shared" si="2"/>
        <v>Holy Innocents' High School</v>
      </c>
      <c r="D146" s="2" t="s">
        <v>30</v>
      </c>
      <c r="E146" s="2" t="s">
        <v>431</v>
      </c>
      <c r="F146" s="2" t="s">
        <v>32</v>
      </c>
      <c r="G146" s="2" t="s">
        <v>432</v>
      </c>
      <c r="I146"/>
      <c r="J146">
        <f>COUNTIF($A$2:A146,A146)</f>
        <v>1</v>
      </c>
      <c r="K146">
        <f>COUNTIFS($A$2:A146,A146,$D$2:D146,D146)</f>
        <v>1</v>
      </c>
    </row>
    <row r="147" ht="14.25" customHeight="1" spans="1:11">
      <c r="A147" s="2" t="s">
        <v>433</v>
      </c>
      <c r="B147" s="2" t="str">
        <f>TRIM(A147)</f>
        <v>Holy Innocents' Primary School</v>
      </c>
      <c r="C147" s="2" t="str">
        <f t="shared" si="2"/>
        <v>Holy Innocents' Primary School</v>
      </c>
      <c r="D147" s="2" t="s">
        <v>30</v>
      </c>
      <c r="E147" s="2" t="s">
        <v>434</v>
      </c>
      <c r="F147" s="2" t="s">
        <v>14</v>
      </c>
      <c r="G147" s="2" t="s">
        <v>435</v>
      </c>
      <c r="I147"/>
      <c r="J147">
        <f>COUNTIF($A$2:A147,A147)</f>
        <v>1</v>
      </c>
      <c r="K147">
        <f>COUNTIFS($A$2:A147,A147,$D$2:D147,D147)</f>
        <v>1</v>
      </c>
    </row>
    <row r="148" ht="14.25" customHeight="1" spans="1:11">
      <c r="A148" s="2" t="s">
        <v>436</v>
      </c>
      <c r="B148" s="2" t="str">
        <f>TRIM(A148)</f>
        <v>HONG KAH SECONDARY SCHOOL</v>
      </c>
      <c r="C148" s="2" t="str">
        <f t="shared" si="2"/>
        <v>Hong Kah Secondary School</v>
      </c>
      <c r="D148" s="2" t="s">
        <v>12</v>
      </c>
      <c r="E148" s="2" t="s">
        <v>437</v>
      </c>
      <c r="F148" s="2" t="s">
        <v>32</v>
      </c>
      <c r="G148" s="2" t="s">
        <v>438</v>
      </c>
      <c r="I148"/>
      <c r="J148">
        <f>COUNTIF($A$2:A148,A148)</f>
        <v>1</v>
      </c>
      <c r="K148">
        <f>COUNTIFS($A$2:A148,A148,$D$2:D148,D148)</f>
        <v>1</v>
      </c>
    </row>
    <row r="149" ht="14.25" customHeight="1" spans="1:11">
      <c r="A149" s="2" t="s">
        <v>439</v>
      </c>
      <c r="B149" s="2" t="str">
        <f>TRIM(A149)</f>
        <v>Hong Wen School</v>
      </c>
      <c r="C149" s="2" t="str">
        <f t="shared" si="2"/>
        <v>Hong Wen School</v>
      </c>
      <c r="D149" s="2" t="s">
        <v>30</v>
      </c>
      <c r="E149" s="2" t="s">
        <v>440</v>
      </c>
      <c r="F149" s="2" t="s">
        <v>14</v>
      </c>
      <c r="G149" s="2" t="s">
        <v>441</v>
      </c>
      <c r="I149"/>
      <c r="J149">
        <f>COUNTIF($A$2:A149,A149)</f>
        <v>1</v>
      </c>
      <c r="K149">
        <f>COUNTIFS($A$2:A149,A149,$D$2:D149,D149)</f>
        <v>1</v>
      </c>
    </row>
    <row r="150" ht="14.25" customHeight="1" spans="1:11">
      <c r="A150" s="2" t="s">
        <v>442</v>
      </c>
      <c r="B150" s="2" t="str">
        <f>TRIM(A150)</f>
        <v>Horizon Primary School</v>
      </c>
      <c r="C150" s="2" t="str">
        <f t="shared" si="2"/>
        <v>Horizon Primary School</v>
      </c>
      <c r="D150" s="2" t="s">
        <v>20</v>
      </c>
      <c r="E150" s="2" t="s">
        <v>443</v>
      </c>
      <c r="F150" s="2" t="s">
        <v>14</v>
      </c>
      <c r="G150" s="2" t="s">
        <v>444</v>
      </c>
      <c r="I150"/>
      <c r="J150">
        <f>COUNTIF($A$2:A150,A150)</f>
        <v>1</v>
      </c>
      <c r="K150">
        <f>COUNTIFS($A$2:A150,A150,$D$2:D150,D150)</f>
        <v>1</v>
      </c>
    </row>
    <row r="151" ht="14.25" customHeight="1" spans="1:11">
      <c r="A151" s="2" t="s">
        <v>445</v>
      </c>
      <c r="B151" s="2" t="str">
        <f>TRIM(A151)</f>
        <v>Hougang Secondary School</v>
      </c>
      <c r="C151" s="2" t="str">
        <f t="shared" si="2"/>
        <v>Hougang Secondary School</v>
      </c>
      <c r="D151" s="2" t="s">
        <v>20</v>
      </c>
      <c r="E151" s="2" t="s">
        <v>446</v>
      </c>
      <c r="F151" s="2" t="s">
        <v>32</v>
      </c>
      <c r="G151" s="2" t="s">
        <v>447</v>
      </c>
      <c r="I151"/>
      <c r="J151">
        <f>COUNTIF($A$2:A151,A151)</f>
        <v>1</v>
      </c>
      <c r="K151">
        <f>COUNTIFS($A$2:A151,A151,$D$2:D151,D151)</f>
        <v>1</v>
      </c>
    </row>
    <row r="152" ht="14.25" customHeight="1" spans="1:11">
      <c r="A152" s="2" t="s">
        <v>448</v>
      </c>
      <c r="B152" s="2" t="str">
        <f>TRIM(A152)</f>
        <v>Hua Yi Secondary School</v>
      </c>
      <c r="C152" s="2" t="str">
        <f t="shared" si="2"/>
        <v>Hua Yi Secondary School</v>
      </c>
      <c r="D152" s="2" t="s">
        <v>12</v>
      </c>
      <c r="E152" s="2" t="s">
        <v>449</v>
      </c>
      <c r="F152" s="2" t="s">
        <v>32</v>
      </c>
      <c r="G152" s="2" t="s">
        <v>450</v>
      </c>
      <c r="I152"/>
      <c r="J152">
        <f>COUNTIF($A$2:A152,A152)</f>
        <v>1</v>
      </c>
      <c r="K152">
        <f>COUNTIFS($A$2:A152,A152,$D$2:D152,D152)</f>
        <v>1</v>
      </c>
    </row>
    <row r="153" ht="14.25" customHeight="1" spans="1:11">
      <c r="A153" s="2" t="s">
        <v>451</v>
      </c>
      <c r="B153" s="2" t="str">
        <f>TRIM(A153)</f>
        <v>Huamin Primary School</v>
      </c>
      <c r="C153" s="2" t="str">
        <f t="shared" si="2"/>
        <v>Huamin Primary School</v>
      </c>
      <c r="D153" s="2" t="s">
        <v>20</v>
      </c>
      <c r="E153" s="2" t="s">
        <v>452</v>
      </c>
      <c r="F153" s="2" t="s">
        <v>14</v>
      </c>
      <c r="G153" s="2" t="s">
        <v>453</v>
      </c>
      <c r="I153"/>
      <c r="J153">
        <f>COUNTIF($A$2:A153,A153)</f>
        <v>1</v>
      </c>
      <c r="K153">
        <f>COUNTIFS($A$2:A153,A153,$D$2:D153,D153)</f>
        <v>1</v>
      </c>
    </row>
    <row r="154" ht="14.25" customHeight="1" spans="1:11">
      <c r="A154" s="2" t="s">
        <v>454</v>
      </c>
      <c r="B154" s="2" t="str">
        <f>TRIM(A154)</f>
        <v>Hwa Chong Institution</v>
      </c>
      <c r="C154" s="2" t="str">
        <f t="shared" si="2"/>
        <v>Hwa Chong Institution</v>
      </c>
      <c r="D154" s="2" t="s">
        <v>12</v>
      </c>
      <c r="E154" s="2" t="s">
        <v>455</v>
      </c>
      <c r="F154" s="2" t="s">
        <v>117</v>
      </c>
      <c r="G154" s="2" t="s">
        <v>456</v>
      </c>
      <c r="H154" s="4" t="s">
        <v>457</v>
      </c>
      <c r="I154" s="1">
        <f>DATEVALUE(H154)</f>
        <v>44448</v>
      </c>
      <c r="J154">
        <f>COUNTIF($A$2:A154,A154)</f>
        <v>1</v>
      </c>
      <c r="K154">
        <f>COUNTIFS($A$2:A154,A154,$D$2:D154,D154)</f>
        <v>1</v>
      </c>
    </row>
    <row r="155" ht="14.25" customHeight="1" spans="1:11">
      <c r="A155" s="2" t="s">
        <v>458</v>
      </c>
      <c r="B155" s="2" t="str">
        <f>TRIM(A155)</f>
        <v>Innova Junior COLLEGE</v>
      </c>
      <c r="C155" s="2" t="str">
        <f t="shared" si="2"/>
        <v>Innova Junior College</v>
      </c>
      <c r="D155" s="2" t="s">
        <v>20</v>
      </c>
      <c r="E155" s="2" t="s">
        <v>459</v>
      </c>
      <c r="F155" s="2" t="s">
        <v>57</v>
      </c>
      <c r="G155" s="2" t="s">
        <v>460</v>
      </c>
      <c r="I155"/>
      <c r="J155">
        <f>COUNTIF($A$2:A155,A155)</f>
        <v>1</v>
      </c>
      <c r="K155">
        <f>COUNTIFS($A$2:A155,A155,$D$2:D155,D155)</f>
        <v>1</v>
      </c>
    </row>
    <row r="156" ht="14.25" customHeight="1" spans="1:11">
      <c r="A156" s="2" t="s">
        <v>461</v>
      </c>
      <c r="B156" s="2" t="str">
        <f>TRIM(A156)</f>
        <v>Innova Primary School</v>
      </c>
      <c r="C156" s="2" t="str">
        <f t="shared" si="2"/>
        <v>Innova Primary School</v>
      </c>
      <c r="D156" s="2" t="s">
        <v>20</v>
      </c>
      <c r="E156" s="2" t="s">
        <v>462</v>
      </c>
      <c r="F156" s="2" t="s">
        <v>14</v>
      </c>
      <c r="G156" s="2" t="s">
        <v>463</v>
      </c>
      <c r="I156"/>
      <c r="J156">
        <f>COUNTIF($A$2:A156,A156)</f>
        <v>1</v>
      </c>
      <c r="K156">
        <f>COUNTIFS($A$2:A156,A156,$D$2:D156,D156)</f>
        <v>1</v>
      </c>
    </row>
    <row r="157" ht="14.25" customHeight="1" spans="1:11">
      <c r="A157" s="2" t="s">
        <v>464</v>
      </c>
      <c r="B157" s="2" t="str">
        <f>TRIM(A157)</f>
        <v>Jing Shan Primary SCHOol</v>
      </c>
      <c r="C157" s="2" t="str">
        <f t="shared" si="2"/>
        <v>Jing Shan Primary School</v>
      </c>
      <c r="D157" s="2" t="s">
        <v>30</v>
      </c>
      <c r="E157" s="2" t="s">
        <v>465</v>
      </c>
      <c r="F157" s="2" t="s">
        <v>14</v>
      </c>
      <c r="G157" s="2">
        <v>265</v>
      </c>
      <c r="H157" s="4" t="s">
        <v>466</v>
      </c>
      <c r="I157" s="1">
        <f>DATEVALUE(H157)</f>
        <v>44386</v>
      </c>
      <c r="J157">
        <f>COUNTIF($A$2:A157,A157)</f>
        <v>1</v>
      </c>
      <c r="K157">
        <f>COUNTIFS($A$2:A157,A157,$D$2:D157,D157)</f>
        <v>1</v>
      </c>
    </row>
    <row r="158" ht="14.25" customHeight="1" spans="1:11">
      <c r="A158" s="2" t="s">
        <v>467</v>
      </c>
      <c r="B158" s="2" t="str">
        <f>TRIM(A158)</f>
        <v>Junyuan Primary School</v>
      </c>
      <c r="C158" s="2" t="str">
        <f t="shared" si="2"/>
        <v>Junyuan Primary School</v>
      </c>
      <c r="D158" s="2" t="s">
        <v>17</v>
      </c>
      <c r="E158" s="2" t="s">
        <v>468</v>
      </c>
      <c r="F158" s="2" t="s">
        <v>14</v>
      </c>
      <c r="G158" s="2" t="s">
        <v>469</v>
      </c>
      <c r="I158"/>
      <c r="J158">
        <f>COUNTIF($A$2:A158,A158)</f>
        <v>1</v>
      </c>
      <c r="K158">
        <f>COUNTIFS($A$2:A158,A158,$D$2:D158,D158)</f>
        <v>1</v>
      </c>
    </row>
    <row r="159" ht="14.25" customHeight="1" spans="1:11">
      <c r="A159" s="2" t="s">
        <v>470</v>
      </c>
      <c r="B159" s="2" t="str">
        <f>TRIM(A159)</f>
        <v>Junyuan Secondary School</v>
      </c>
      <c r="C159" s="2" t="str">
        <f t="shared" si="2"/>
        <v>Junyuan Secondary School</v>
      </c>
      <c r="D159" s="2" t="s">
        <v>17</v>
      </c>
      <c r="E159" s="2" t="s">
        <v>471</v>
      </c>
      <c r="F159" s="2" t="s">
        <v>32</v>
      </c>
      <c r="G159" s="2" t="s">
        <v>472</v>
      </c>
      <c r="I159"/>
      <c r="J159">
        <f>COUNTIF($A$2:A159,A159)</f>
        <v>1</v>
      </c>
      <c r="K159">
        <f>COUNTIFS($A$2:A159,A159,$D$2:D159,D159)</f>
        <v>1</v>
      </c>
    </row>
    <row r="160" ht="14.25" customHeight="1" spans="1:11">
      <c r="A160" s="2" t="s">
        <v>473</v>
      </c>
      <c r="B160" s="2" t="str">
        <f>TRIM(A160)</f>
        <v>Jurong Junior College</v>
      </c>
      <c r="C160" s="2" t="str">
        <f t="shared" si="2"/>
        <v>Jurong Junior College</v>
      </c>
      <c r="D160" s="2" t="s">
        <v>12</v>
      </c>
      <c r="E160" s="2" t="s">
        <v>474</v>
      </c>
      <c r="F160" s="2" t="s">
        <v>57</v>
      </c>
      <c r="G160" s="2" t="s">
        <v>475</v>
      </c>
      <c r="I160"/>
      <c r="J160">
        <f>COUNTIF($A$2:A160,A160)</f>
        <v>1</v>
      </c>
      <c r="K160">
        <f>COUNTIFS($A$2:A160,A160,$D$2:D160,D160)</f>
        <v>1</v>
      </c>
    </row>
    <row r="161" ht="14.25" customHeight="1" spans="1:11">
      <c r="A161" s="2" t="s">
        <v>476</v>
      </c>
      <c r="B161" s="2" t="str">
        <f>TRIM(A161)</f>
        <v>Jurong Primary SCHOol</v>
      </c>
      <c r="C161" s="2" t="str">
        <f t="shared" si="2"/>
        <v>Jurong Primary School</v>
      </c>
      <c r="D161" s="2" t="s">
        <v>12</v>
      </c>
      <c r="E161" s="2" t="s">
        <v>477</v>
      </c>
      <c r="F161" s="2" t="s">
        <v>14</v>
      </c>
      <c r="G161" s="2">
        <v>243</v>
      </c>
      <c r="I161"/>
      <c r="J161">
        <f>COUNTIF($A$2:A161,A161)</f>
        <v>1</v>
      </c>
      <c r="K161">
        <f>COUNTIFS($A$2:A161,A161,$D$2:D161,D161)</f>
        <v>1</v>
      </c>
    </row>
    <row r="162" ht="14.25" customHeight="1" spans="1:11">
      <c r="A162" s="2" t="s">
        <v>478</v>
      </c>
      <c r="B162" s="2" t="str">
        <f>TRIM(A162)</f>
        <v>Jurong Secondary School</v>
      </c>
      <c r="C162" s="2" t="str">
        <f t="shared" si="2"/>
        <v>Jurong Secondary School</v>
      </c>
      <c r="D162" s="2" t="s">
        <v>12</v>
      </c>
      <c r="E162" s="2" t="s">
        <v>479</v>
      </c>
      <c r="F162" s="2" t="s">
        <v>32</v>
      </c>
      <c r="G162" s="2" t="s">
        <v>480</v>
      </c>
      <c r="I162"/>
      <c r="J162">
        <f>COUNTIF($A$2:A162,A162)</f>
        <v>1</v>
      </c>
      <c r="K162">
        <f>COUNTIFS($A$2:A162,A162,$D$2:D162,D162)</f>
        <v>1</v>
      </c>
    </row>
    <row r="163" ht="14.25" customHeight="1" spans="1:11">
      <c r="A163" s="2" t="s">
        <v>481</v>
      </c>
      <c r="B163" s="2" t="str">
        <f>TRIM(A163)</f>
        <v>Jurong West Secondary School</v>
      </c>
      <c r="C163" s="2" t="str">
        <f t="shared" si="2"/>
        <v>Jurong West Secondary School</v>
      </c>
      <c r="D163" s="2" t="s">
        <v>12</v>
      </c>
      <c r="E163" s="2" t="s">
        <v>482</v>
      </c>
      <c r="F163" s="2" t="s">
        <v>32</v>
      </c>
      <c r="G163" s="2" t="s">
        <v>483</v>
      </c>
      <c r="I163"/>
      <c r="J163">
        <f>COUNTIF($A$2:A163,A163)</f>
        <v>1</v>
      </c>
      <c r="K163">
        <f>COUNTIFS($A$2:A163,A163,$D$2:D163,D163)</f>
        <v>1</v>
      </c>
    </row>
    <row r="164" ht="14.25" customHeight="1" spans="1:11">
      <c r="A164" s="2" t="s">
        <v>484</v>
      </c>
      <c r="B164" s="2" t="str">
        <f>TRIM(A164)</f>
        <v>Jurongville Secondary School</v>
      </c>
      <c r="C164" s="2" t="str">
        <f t="shared" si="2"/>
        <v>Jurongville Secondary School</v>
      </c>
      <c r="D164" s="2" t="s">
        <v>12</v>
      </c>
      <c r="E164" s="2" t="s">
        <v>485</v>
      </c>
      <c r="F164" s="2" t="s">
        <v>32</v>
      </c>
      <c r="G164" s="2" t="s">
        <v>486</v>
      </c>
      <c r="H164" s="3" t="s">
        <v>487</v>
      </c>
      <c r="I164" s="1">
        <f>DATEVALUE(MID(H164,1,4)&amp;"-"&amp;MID(H164,9,2)&amp;"-"&amp;MID(H164,6,2))</f>
        <v>45060</v>
      </c>
      <c r="J164">
        <f>COUNTIF($A$2:A164,A164)</f>
        <v>1</v>
      </c>
      <c r="K164">
        <f>COUNTIFS($A$2:A164,A164,$D$2:D164,D164)</f>
        <v>1</v>
      </c>
    </row>
    <row r="165" ht="14.25" customHeight="1" spans="1:11">
      <c r="A165" s="2" t="s">
        <v>488</v>
      </c>
      <c r="B165" s="2" t="str">
        <f>TRIM(A165)</f>
        <v>Juying Primary School</v>
      </c>
      <c r="C165" s="2" t="str">
        <f t="shared" si="2"/>
        <v>Juying Primary School</v>
      </c>
      <c r="D165" s="2" t="s">
        <v>12</v>
      </c>
      <c r="E165" s="2" t="s">
        <v>489</v>
      </c>
      <c r="F165" s="2" t="s">
        <v>14</v>
      </c>
      <c r="G165" s="2" t="s">
        <v>490</v>
      </c>
      <c r="I165"/>
      <c r="J165">
        <f>COUNTIF($A$2:A165,A165)</f>
        <v>1</v>
      </c>
      <c r="K165">
        <f>COUNTIFS($A$2:A165,A165,$D$2:D165,D165)</f>
        <v>1</v>
      </c>
    </row>
    <row r="166" ht="14.25" customHeight="1" spans="1:11">
      <c r="A166" s="2" t="s">
        <v>491</v>
      </c>
      <c r="B166" s="2" t="str">
        <f>TRIM(A166)</f>
        <v>Juying Secondary School</v>
      </c>
      <c r="C166" s="2" t="str">
        <f t="shared" si="2"/>
        <v>Juying Secondary School</v>
      </c>
      <c r="D166" s="2" t="s">
        <v>12</v>
      </c>
      <c r="E166" s="2" t="s">
        <v>492</v>
      </c>
      <c r="F166" s="2" t="s">
        <v>32</v>
      </c>
      <c r="G166" s="2" t="s">
        <v>456</v>
      </c>
      <c r="I166"/>
      <c r="J166">
        <f>COUNTIF($A$2:A166,A166)</f>
        <v>1</v>
      </c>
      <c r="K166">
        <f>COUNTIFS($A$2:A166,A166,$D$2:D166,D166)</f>
        <v>1</v>
      </c>
    </row>
    <row r="167" ht="14.25" customHeight="1" spans="1:11">
      <c r="A167" s="2" t="s">
        <v>493</v>
      </c>
      <c r="B167" s="2" t="str">
        <f>TRIM(A167)</f>
        <v>Keming Primary School</v>
      </c>
      <c r="C167" s="2" t="str">
        <f t="shared" si="2"/>
        <v>Keming Primary School</v>
      </c>
      <c r="D167" s="2" t="s">
        <v>12</v>
      </c>
      <c r="E167" s="2" t="s">
        <v>494</v>
      </c>
      <c r="F167" s="2" t="s">
        <v>14</v>
      </c>
      <c r="G167" s="2">
        <v>912</v>
      </c>
      <c r="I167"/>
      <c r="J167">
        <f>COUNTIF($A$2:A167,A167)</f>
        <v>1</v>
      </c>
      <c r="K167">
        <f>COUNTIFS($A$2:A167,A167,$D$2:D167,D167)</f>
        <v>1</v>
      </c>
    </row>
    <row r="168" ht="14.25" customHeight="1" spans="1:11">
      <c r="A168" s="2" t="s">
        <v>495</v>
      </c>
      <c r="B168" s="2" t="str">
        <f>TRIM(A168)</f>
        <v>Kent Ridge Secondary School</v>
      </c>
      <c r="C168" s="2" t="str">
        <f t="shared" si="2"/>
        <v>Kent Ridge Secondary School</v>
      </c>
      <c r="D168" s="2" t="s">
        <v>30</v>
      </c>
      <c r="E168" s="2" t="s">
        <v>496</v>
      </c>
      <c r="F168" s="2" t="s">
        <v>32</v>
      </c>
      <c r="G168" s="2" t="s">
        <v>497</v>
      </c>
      <c r="I168"/>
      <c r="J168">
        <f>COUNTIF($A$2:A168,A168)</f>
        <v>1</v>
      </c>
      <c r="K168">
        <f>COUNTIFS($A$2:A168,A168,$D$2:D168,D168)</f>
        <v>1</v>
      </c>
    </row>
    <row r="169" ht="14.25" customHeight="1" spans="1:11">
      <c r="A169" s="2" t="s">
        <v>498</v>
      </c>
      <c r="B169" s="2" t="str">
        <f>TRIM(A169)</f>
        <v>Kheng Cheng School</v>
      </c>
      <c r="C169" s="2" t="str">
        <f t="shared" si="2"/>
        <v>Kheng Cheng School</v>
      </c>
      <c r="D169" s="2" t="s">
        <v>30</v>
      </c>
      <c r="E169" s="2" t="s">
        <v>499</v>
      </c>
      <c r="F169" s="2" t="s">
        <v>14</v>
      </c>
      <c r="G169" s="2" t="s">
        <v>500</v>
      </c>
      <c r="I169"/>
      <c r="J169">
        <f>COUNTIF($A$2:A169,A169)</f>
        <v>1</v>
      </c>
      <c r="K169">
        <f>COUNTIFS($A$2:A169,A169,$D$2:D169,D169)</f>
        <v>1</v>
      </c>
    </row>
    <row r="170" ht="14.25" customHeight="1" spans="1:11">
      <c r="A170" s="2" t="s">
        <v>501</v>
      </c>
      <c r="B170" s="2" t="str">
        <f>TRIM(A170)</f>
        <v>Kong Hwa School</v>
      </c>
      <c r="C170" s="2" t="str">
        <f t="shared" si="2"/>
        <v>Kong Hwa School</v>
      </c>
      <c r="D170" s="2" t="s">
        <v>17</v>
      </c>
      <c r="E170" s="2" t="s">
        <v>502</v>
      </c>
      <c r="F170" s="2" t="s">
        <v>14</v>
      </c>
      <c r="G170" s="2">
        <v>911</v>
      </c>
      <c r="I170"/>
      <c r="J170">
        <f>COUNTIF($A$2:A170,A170)</f>
        <v>1</v>
      </c>
      <c r="K170">
        <f>COUNTIFS($A$2:A170,A170,$D$2:D170,D170)</f>
        <v>1</v>
      </c>
    </row>
    <row r="171" ht="14.25" customHeight="1" spans="1:11">
      <c r="A171" s="2" t="s">
        <v>503</v>
      </c>
      <c r="B171" s="2" t="str">
        <f>TRIM(A171)</f>
        <v>Kranji Primary School</v>
      </c>
      <c r="C171" s="2" t="str">
        <f t="shared" si="2"/>
        <v>Kranji Primary School</v>
      </c>
      <c r="D171" s="2" t="s">
        <v>12</v>
      </c>
      <c r="E171" s="2" t="s">
        <v>504</v>
      </c>
      <c r="F171" s="2" t="s">
        <v>14</v>
      </c>
      <c r="G171" s="2" t="s">
        <v>505</v>
      </c>
      <c r="I171"/>
      <c r="J171">
        <f>COUNTIF($A$2:A171,A171)</f>
        <v>1</v>
      </c>
      <c r="K171">
        <f>COUNTIFS($A$2:A171,A171,$D$2:D171,D171)</f>
        <v>1</v>
      </c>
    </row>
    <row r="172" ht="14.25" customHeight="1" spans="1:11">
      <c r="A172" s="2" t="s">
        <v>506</v>
      </c>
      <c r="B172" s="2" t="str">
        <f>TRIM(A172)</f>
        <v>Kranji Secondary School</v>
      </c>
      <c r="C172" s="2" t="str">
        <f t="shared" si="2"/>
        <v>Kranji Secondary School</v>
      </c>
      <c r="D172" s="2" t="s">
        <v>12</v>
      </c>
      <c r="E172" s="2" t="s">
        <v>507</v>
      </c>
      <c r="F172" s="2" t="s">
        <v>32</v>
      </c>
      <c r="G172" s="2" t="s">
        <v>508</v>
      </c>
      <c r="I172"/>
      <c r="J172">
        <f>COUNTIF($A$2:A172,A172)</f>
        <v>1</v>
      </c>
      <c r="K172">
        <f>COUNTIFS($A$2:A172,A172,$D$2:D172,D172)</f>
        <v>1</v>
      </c>
    </row>
    <row r="173" ht="14.25" customHeight="1" spans="1:11">
      <c r="A173" s="2" t="s">
        <v>509</v>
      </c>
      <c r="B173" s="2" t="str">
        <f>TRIM(A173)</f>
        <v>Kuo Chuan Presbyterian Primary School</v>
      </c>
      <c r="C173" s="2" t="str">
        <f t="shared" si="2"/>
        <v>Kuo Chuan Presbyterian Primary School</v>
      </c>
      <c r="D173" s="2" t="s">
        <v>30</v>
      </c>
      <c r="E173" s="2" t="s">
        <v>510</v>
      </c>
      <c r="F173" s="2" t="s">
        <v>14</v>
      </c>
      <c r="G173" s="2" t="s">
        <v>511</v>
      </c>
      <c r="I173"/>
      <c r="J173">
        <f>COUNTIF($A$2:A173,A173)</f>
        <v>1</v>
      </c>
      <c r="K173">
        <f>COUNTIFS($A$2:A173,A173,$D$2:D173,D173)</f>
        <v>1</v>
      </c>
    </row>
    <row r="174" ht="14.25" customHeight="1" spans="1:11">
      <c r="A174" s="2" t="s">
        <v>512</v>
      </c>
      <c r="B174" s="2" t="str">
        <f>TRIM(A174)</f>
        <v>Kuo Chuan Presbyterian Secondary School</v>
      </c>
      <c r="C174" s="2" t="str">
        <f t="shared" si="2"/>
        <v>Kuo Chuan Presbyterian Secondary School</v>
      </c>
      <c r="D174" s="2" t="s">
        <v>30</v>
      </c>
      <c r="E174" s="2" t="s">
        <v>513</v>
      </c>
      <c r="F174" s="2" t="s">
        <v>32</v>
      </c>
      <c r="G174" s="2" t="s">
        <v>514</v>
      </c>
      <c r="I174"/>
      <c r="J174">
        <f>COUNTIF($A$2:A174,A174)</f>
        <v>1</v>
      </c>
      <c r="K174">
        <f>COUNTIFS($A$2:A174,A174,$D$2:D174,D174)</f>
        <v>1</v>
      </c>
    </row>
    <row r="175" ht="14.25" customHeight="1" spans="1:11">
      <c r="A175" s="2" t="s">
        <v>515</v>
      </c>
      <c r="B175" s="2" t="str">
        <f>TRIM(A175)</f>
        <v>Lakeside Primary School</v>
      </c>
      <c r="C175" s="2" t="str">
        <f t="shared" si="2"/>
        <v>Lakeside Primary School</v>
      </c>
      <c r="D175" s="2" t="s">
        <v>12</v>
      </c>
      <c r="E175" s="2" t="s">
        <v>516</v>
      </c>
      <c r="F175" s="2" t="s">
        <v>14</v>
      </c>
      <c r="G175" s="2" t="s">
        <v>517</v>
      </c>
      <c r="I175"/>
      <c r="J175">
        <f>COUNTIF($A$2:A175,A175)</f>
        <v>1</v>
      </c>
      <c r="K175">
        <f>COUNTIFS($A$2:A175,A175,$D$2:D175,D175)</f>
        <v>1</v>
      </c>
    </row>
    <row r="176" ht="14.25" customHeight="1" spans="1:11">
      <c r="A176" s="2" t="s">
        <v>518</v>
      </c>
      <c r="B176" s="2" t="str">
        <f>TRIM(A176)</f>
        <v>Lianhua Primary School</v>
      </c>
      <c r="C176" s="2" t="str">
        <f t="shared" si="2"/>
        <v>Lianhua Primary School</v>
      </c>
      <c r="D176" s="2" t="s">
        <v>12</v>
      </c>
      <c r="E176" s="2" t="s">
        <v>519</v>
      </c>
      <c r="F176" s="2" t="s">
        <v>14</v>
      </c>
      <c r="G176" s="2" t="s">
        <v>520</v>
      </c>
      <c r="I176"/>
      <c r="J176">
        <f>COUNTIF($A$2:A176,A176)</f>
        <v>1</v>
      </c>
      <c r="K176">
        <f>COUNTIFS($A$2:A176,A176,$D$2:D176,D176)</f>
        <v>1</v>
      </c>
    </row>
    <row r="177" ht="14.25" customHeight="1" spans="1:11">
      <c r="A177" s="2" t="s">
        <v>521</v>
      </c>
      <c r="B177" s="2" t="str">
        <f>TRIM(A177)</f>
        <v>Loyang Primary School</v>
      </c>
      <c r="C177" s="2" t="str">
        <f t="shared" si="2"/>
        <v>Loyang Primary School</v>
      </c>
      <c r="D177" s="2" t="s">
        <v>17</v>
      </c>
      <c r="E177" s="2" t="s">
        <v>522</v>
      </c>
      <c r="F177" s="2" t="s">
        <v>14</v>
      </c>
      <c r="G177" s="2" t="s">
        <v>523</v>
      </c>
      <c r="I177"/>
      <c r="J177">
        <f>COUNTIF($A$2:A177,A177)</f>
        <v>1</v>
      </c>
      <c r="K177">
        <f>COUNTIFS($A$2:A177,A177,$D$2:D177,D177)</f>
        <v>1</v>
      </c>
    </row>
    <row r="178" ht="14.25" customHeight="1" spans="1:11">
      <c r="A178" s="2" t="s">
        <v>524</v>
      </c>
      <c r="B178" s="2" t="str">
        <f>TRIM(A178)</f>
        <v>Loyang View Secondary School</v>
      </c>
      <c r="C178" s="2" t="str">
        <f t="shared" si="2"/>
        <v>Loyang View Secondary School</v>
      </c>
      <c r="D178" s="2" t="s">
        <v>17</v>
      </c>
      <c r="E178" s="2" t="s">
        <v>525</v>
      </c>
      <c r="F178" s="2" t="s">
        <v>32</v>
      </c>
      <c r="G178" s="2" t="s">
        <v>526</v>
      </c>
      <c r="I178"/>
      <c r="J178">
        <f>COUNTIF($A$2:A178,A178)</f>
        <v>1</v>
      </c>
      <c r="K178">
        <f>COUNTIFS($A$2:A178,A178,$D$2:D178,D178)</f>
        <v>1</v>
      </c>
    </row>
    <row r="179" ht="14.25" customHeight="1" spans="1:11">
      <c r="A179" s="2" t="s">
        <v>527</v>
      </c>
      <c r="B179" s="2" t="str">
        <f>TRIM(A179)</f>
        <v>macpherson Primary School</v>
      </c>
      <c r="C179" s="2" t="str">
        <f t="shared" si="2"/>
        <v>Macpherson Primary School</v>
      </c>
      <c r="D179" s="2" t="s">
        <v>17</v>
      </c>
      <c r="E179" s="2" t="s">
        <v>528</v>
      </c>
      <c r="F179" s="2" t="s">
        <v>14</v>
      </c>
      <c r="G179" s="2" t="s">
        <v>529</v>
      </c>
      <c r="I179"/>
      <c r="J179">
        <f>COUNTIF($A$2:A179,A179)</f>
        <v>1</v>
      </c>
      <c r="K179">
        <f>COUNTIFS($A$2:A179,A179,$D$2:D179,D179)</f>
        <v>1</v>
      </c>
    </row>
    <row r="180" ht="14.25" customHeight="1" spans="1:11">
      <c r="A180" s="2" t="s">
        <v>530</v>
      </c>
      <c r="B180" s="2" t="str">
        <f>TRIM(A180)</f>
        <v>Maha Bodhi School</v>
      </c>
      <c r="C180" s="2" t="str">
        <f t="shared" si="2"/>
        <v>Maha Bodhi School</v>
      </c>
      <c r="D180" s="2" t="s">
        <v>17</v>
      </c>
      <c r="E180" s="2" t="s">
        <v>531</v>
      </c>
      <c r="F180" s="2" t="s">
        <v>14</v>
      </c>
      <c r="G180" s="2" t="s">
        <v>532</v>
      </c>
      <c r="I180"/>
      <c r="J180">
        <f>COUNTIF($A$2:A180,A180)</f>
        <v>1</v>
      </c>
      <c r="K180">
        <f>COUNTIFS($A$2:A180,A180,$D$2:D180,D180)</f>
        <v>1</v>
      </c>
    </row>
    <row r="181" ht="14.25" customHeight="1" spans="1:11">
      <c r="A181" s="2" t="s">
        <v>533</v>
      </c>
      <c r="B181" s="2" t="str">
        <f>TRIM(A181)</f>
        <v>Manjusri Secondary School</v>
      </c>
      <c r="C181" s="2" t="str">
        <f t="shared" si="2"/>
        <v>Manjusri Secondary School</v>
      </c>
      <c r="D181" s="2" t="s">
        <v>17</v>
      </c>
      <c r="E181" s="2" t="s">
        <v>534</v>
      </c>
      <c r="F181" s="2" t="s">
        <v>32</v>
      </c>
      <c r="G181" s="2">
        <v>17</v>
      </c>
      <c r="I181"/>
      <c r="J181">
        <f>COUNTIF($A$2:A181,A181)</f>
        <v>1</v>
      </c>
      <c r="K181">
        <f>COUNTIFS($A$2:A181,A181,$D$2:D181,D181)</f>
        <v>1</v>
      </c>
    </row>
    <row r="182" ht="14.25" customHeight="1" spans="1:11">
      <c r="A182" s="2" t="s">
        <v>535</v>
      </c>
      <c r="B182" s="2" t="str">
        <f>TRIM(A182)</f>
        <v>Maris Stella High School</v>
      </c>
      <c r="C182" s="2" t="str">
        <f t="shared" si="2"/>
        <v>Maris Stella High School</v>
      </c>
      <c r="D182" s="2" t="s">
        <v>20</v>
      </c>
      <c r="E182" s="2" t="s">
        <v>536</v>
      </c>
      <c r="F182" s="2" t="s">
        <v>117</v>
      </c>
      <c r="G182" s="2" t="s">
        <v>537</v>
      </c>
      <c r="I182"/>
      <c r="J182">
        <f>COUNTIF($A$2:A182,A182)</f>
        <v>1</v>
      </c>
      <c r="K182">
        <f>COUNTIFS($A$2:A182,A182,$D$2:D182,D182)</f>
        <v>1</v>
      </c>
    </row>
    <row r="183" ht="14.25" customHeight="1" spans="1:11">
      <c r="A183" s="2" t="s">
        <v>538</v>
      </c>
      <c r="B183" s="2" t="str">
        <f>TRIM(A183)</f>
        <v>Marsiling Primary School</v>
      </c>
      <c r="C183" s="2" t="str">
        <f t="shared" si="2"/>
        <v>Marsiling Primary School</v>
      </c>
      <c r="D183" s="2" t="s">
        <v>20</v>
      </c>
      <c r="E183" s="2" t="s">
        <v>539</v>
      </c>
      <c r="F183" s="2" t="s">
        <v>14</v>
      </c>
      <c r="G183" s="2" t="s">
        <v>540</v>
      </c>
      <c r="I183"/>
      <c r="J183">
        <f>COUNTIF($A$2:A183,A183)</f>
        <v>1</v>
      </c>
      <c r="K183">
        <f>COUNTIFS($A$2:A183,A183,$D$2:D183,D183)</f>
        <v>1</v>
      </c>
    </row>
    <row r="184" ht="14.25" customHeight="1" spans="1:11">
      <c r="A184" s="2" t="s">
        <v>541</v>
      </c>
      <c r="B184" s="2" t="str">
        <f>TRIM(A184)</f>
        <v>Marsiling Secondary School</v>
      </c>
      <c r="C184" s="2" t="str">
        <f t="shared" si="2"/>
        <v>Marsiling Secondary School</v>
      </c>
      <c r="D184" s="2" t="s">
        <v>20</v>
      </c>
      <c r="E184" s="2" t="s">
        <v>542</v>
      </c>
      <c r="F184" s="2" t="s">
        <v>32</v>
      </c>
      <c r="G184" s="2" t="s">
        <v>543</v>
      </c>
      <c r="I184"/>
      <c r="J184">
        <f>COUNTIF($A$2:A184,A184)</f>
        <v>1</v>
      </c>
      <c r="K184">
        <f>COUNTIFS($A$2:A184,A184,$D$2:D184,D184)</f>
        <v>1</v>
      </c>
    </row>
    <row r="185" ht="14.25" customHeight="1" spans="1:11">
      <c r="A185" s="2" t="s">
        <v>544</v>
      </c>
      <c r="B185" s="2" t="str">
        <f>TRIM(A185)</f>
        <v>Marymount Convent School</v>
      </c>
      <c r="C185" s="2" t="str">
        <f t="shared" si="2"/>
        <v>Marymount Convent School</v>
      </c>
      <c r="D185" s="2" t="s">
        <v>30</v>
      </c>
      <c r="E185" s="2" t="s">
        <v>545</v>
      </c>
      <c r="F185" s="2" t="s">
        <v>14</v>
      </c>
      <c r="G185" s="2" t="s">
        <v>546</v>
      </c>
      <c r="I185"/>
      <c r="J185">
        <f>COUNTIF($A$2:A185,A185)</f>
        <v>1</v>
      </c>
      <c r="K185">
        <f>COUNTIFS($A$2:A185,A185,$D$2:D185,D185)</f>
        <v>1</v>
      </c>
    </row>
    <row r="186" ht="14.25" customHeight="1" spans="1:11">
      <c r="A186" s="2" t="s">
        <v>547</v>
      </c>
      <c r="B186" s="2" t="str">
        <f>TRIM(A186)</f>
        <v>Mayflower Primary School</v>
      </c>
      <c r="C186" s="2" t="str">
        <f t="shared" si="2"/>
        <v>Mayflower Primary School</v>
      </c>
      <c r="D186" s="2" t="s">
        <v>30</v>
      </c>
      <c r="E186" s="2" t="s">
        <v>548</v>
      </c>
      <c r="F186" s="2" t="s">
        <v>14</v>
      </c>
      <c r="G186" s="2" t="s">
        <v>549</v>
      </c>
      <c r="H186" s="3" t="s">
        <v>550</v>
      </c>
      <c r="I186" s="1">
        <f>DATEVALUE(H186)</f>
        <v>44448</v>
      </c>
      <c r="J186">
        <f>COUNTIF($A$2:A186,A186)</f>
        <v>1</v>
      </c>
      <c r="K186">
        <f>COUNTIFS($A$2:A186,A186,$D$2:D186,D186)</f>
        <v>1</v>
      </c>
    </row>
    <row r="187" ht="14.25" customHeight="1" spans="1:11">
      <c r="A187" s="2" t="s">
        <v>551</v>
      </c>
      <c r="B187" s="2" t="str">
        <f>TRIM(A187)</f>
        <v>MAYFLOWER SECONDARY SCHOOL</v>
      </c>
      <c r="C187" s="2" t="str">
        <f t="shared" si="2"/>
        <v>Mayflower Secondary School</v>
      </c>
      <c r="D187" s="2" t="s">
        <v>30</v>
      </c>
      <c r="E187" s="2" t="s">
        <v>552</v>
      </c>
      <c r="F187" s="2" t="s">
        <v>32</v>
      </c>
      <c r="G187" s="2" t="s">
        <v>553</v>
      </c>
      <c r="I187"/>
      <c r="J187">
        <f>COUNTIF($A$2:A187,A187)</f>
        <v>1</v>
      </c>
      <c r="K187">
        <f>COUNTIFS($A$2:A187,A187,$D$2:D187,D187)</f>
        <v>1</v>
      </c>
    </row>
    <row r="188" ht="14.25" customHeight="1" spans="1:11">
      <c r="A188" s="2" t="s">
        <v>554</v>
      </c>
      <c r="B188" s="2" t="str">
        <f>TRIM(A188)</f>
        <v>Mee Toh School</v>
      </c>
      <c r="C188" s="2" t="str">
        <f t="shared" si="2"/>
        <v>Mee Toh School</v>
      </c>
      <c r="D188" s="2" t="s">
        <v>20</v>
      </c>
      <c r="E188" s="2" t="s">
        <v>555</v>
      </c>
      <c r="F188" s="2" t="s">
        <v>14</v>
      </c>
      <c r="G188" s="2" t="s">
        <v>556</v>
      </c>
      <c r="I188"/>
      <c r="J188">
        <f>COUNTIF($A$2:A188,A188)</f>
        <v>1</v>
      </c>
      <c r="K188">
        <f>COUNTIFS($A$2:A188,A188,$D$2:D188,D188)</f>
        <v>1</v>
      </c>
    </row>
    <row r="189" ht="14.25" customHeight="1" spans="1:11">
      <c r="A189" s="2" t="s">
        <v>557</v>
      </c>
      <c r="B189" s="2" t="str">
        <f>TRIM(A189)</f>
        <v>Meridian Junior College</v>
      </c>
      <c r="C189" s="2" t="str">
        <f t="shared" si="2"/>
        <v>Meridian Junior College</v>
      </c>
      <c r="D189" s="2" t="s">
        <v>17</v>
      </c>
      <c r="E189" s="2" t="s">
        <v>558</v>
      </c>
      <c r="F189" s="2" t="s">
        <v>57</v>
      </c>
      <c r="G189" s="2" t="s">
        <v>559</v>
      </c>
      <c r="I189"/>
      <c r="J189">
        <f>COUNTIF($A$2:A189,A189)</f>
        <v>1</v>
      </c>
      <c r="K189">
        <f>COUNTIFS($A$2:A189,A189,$D$2:D189,D189)</f>
        <v>1</v>
      </c>
    </row>
    <row r="190" ht="14.25" customHeight="1" spans="1:11">
      <c r="A190" s="2" t="s">
        <v>560</v>
      </c>
      <c r="B190" s="2" t="str">
        <f>TRIM(A190)</f>
        <v>Meridian Primary School</v>
      </c>
      <c r="C190" s="2" t="str">
        <f t="shared" si="2"/>
        <v>Meridian Primary School</v>
      </c>
      <c r="D190" s="2" t="s">
        <v>17</v>
      </c>
      <c r="E190" s="2" t="s">
        <v>561</v>
      </c>
      <c r="F190" s="2" t="s">
        <v>14</v>
      </c>
      <c r="G190" s="2" t="s">
        <v>562</v>
      </c>
      <c r="I190"/>
      <c r="J190">
        <f>COUNTIF($A$2:A190,A190)</f>
        <v>1</v>
      </c>
      <c r="K190">
        <f>COUNTIFS($A$2:A190,A190,$D$2:D190,D190)</f>
        <v>1</v>
      </c>
    </row>
    <row r="191" ht="14.25" customHeight="1" spans="1:11">
      <c r="A191" s="2" t="s">
        <v>563</v>
      </c>
      <c r="B191" s="2" t="str">
        <f>TRIM(A191)</f>
        <v>Meridian Secondary School</v>
      </c>
      <c r="C191" s="2" t="str">
        <f t="shared" si="2"/>
        <v>Meridian Secondary School</v>
      </c>
      <c r="D191" s="2" t="s">
        <v>17</v>
      </c>
      <c r="E191" s="2" t="s">
        <v>564</v>
      </c>
      <c r="F191" s="2" t="s">
        <v>32</v>
      </c>
      <c r="G191" s="2" t="s">
        <v>565</v>
      </c>
      <c r="I191"/>
      <c r="J191">
        <f>COUNTIF($A$2:A191,A191)</f>
        <v>1</v>
      </c>
      <c r="K191">
        <f>COUNTIFS($A$2:A191,A191,$D$2:D191,D191)</f>
        <v>1</v>
      </c>
    </row>
    <row r="192" ht="14.25" customHeight="1" spans="1:11">
      <c r="A192" s="2" t="s">
        <v>566</v>
      </c>
      <c r="B192" s="2" t="str">
        <f>TRIM(A192)</f>
        <v>Methodist Girls' School (Primary)</v>
      </c>
      <c r="C192" s="2" t="str">
        <f t="shared" si="2"/>
        <v>Methodist Girls' School (Primary)</v>
      </c>
      <c r="D192" s="2" t="s">
        <v>12</v>
      </c>
      <c r="E192" s="2" t="s">
        <v>567</v>
      </c>
      <c r="F192" s="2" t="s">
        <v>14</v>
      </c>
      <c r="G192" s="2" t="s">
        <v>568</v>
      </c>
      <c r="I192"/>
      <c r="J192">
        <f>COUNTIF($A$2:A192,A192)</f>
        <v>1</v>
      </c>
      <c r="K192">
        <f>COUNTIFS($A$2:A192,A192,$D$2:D192,D192)</f>
        <v>1</v>
      </c>
    </row>
    <row r="193" ht="14.25" customHeight="1" spans="1:11">
      <c r="A193" s="2" t="s">
        <v>569</v>
      </c>
      <c r="B193" s="2" t="str">
        <f>TRIM(A193)</f>
        <v>Methodist Girls' School (Secondary)</v>
      </c>
      <c r="C193" s="2" t="str">
        <f t="shared" si="2"/>
        <v>Methodist Girls' School (Secondary)</v>
      </c>
      <c r="D193" s="2" t="s">
        <v>12</v>
      </c>
      <c r="E193" s="2" t="s">
        <v>567</v>
      </c>
      <c r="F193" s="2" t="s">
        <v>32</v>
      </c>
      <c r="G193" s="2" t="s">
        <v>570</v>
      </c>
      <c r="I193"/>
      <c r="J193">
        <f>COUNTIF($A$2:A193,A193)</f>
        <v>1</v>
      </c>
      <c r="K193">
        <f>COUNTIFS($A$2:A193,A193,$D$2:D193,D193)</f>
        <v>1</v>
      </c>
    </row>
    <row r="194" ht="14.25" customHeight="1" spans="1:11">
      <c r="A194" s="2" t="s">
        <v>571</v>
      </c>
      <c r="B194" s="2" t="str">
        <f>TRIM(A194)</f>
        <v>Millennia Institute</v>
      </c>
      <c r="C194" s="2" t="str">
        <f t="shared" si="2"/>
        <v>Millennia Institute</v>
      </c>
      <c r="D194" s="2" t="s">
        <v>12</v>
      </c>
      <c r="E194" s="2" t="s">
        <v>572</v>
      </c>
      <c r="F194" s="2" t="s">
        <v>573</v>
      </c>
      <c r="G194" s="2" t="s">
        <v>574</v>
      </c>
      <c r="I194"/>
      <c r="J194">
        <f>COUNTIF($A$2:A194,A194)</f>
        <v>1</v>
      </c>
      <c r="K194">
        <f>COUNTIFS($A$2:A194,A194,$D$2:D194,D194)</f>
        <v>1</v>
      </c>
    </row>
    <row r="195" ht="14.25" customHeight="1" spans="1:11">
      <c r="A195" s="2" t="s">
        <v>575</v>
      </c>
      <c r="B195" s="2" t="str">
        <f>TRIM(A195)</f>
        <v>Montfort Junior School</v>
      </c>
      <c r="C195" s="2" t="str">
        <f t="shared" ref="C195:C258" si="3">PROPER(B195)</f>
        <v>Montfort Junior School</v>
      </c>
      <c r="D195" s="2" t="s">
        <v>20</v>
      </c>
      <c r="E195" s="2" t="s">
        <v>576</v>
      </c>
      <c r="F195" s="2" t="s">
        <v>14</v>
      </c>
      <c r="G195" s="2">
        <v>912</v>
      </c>
      <c r="I195"/>
      <c r="J195">
        <f>COUNTIF($A$2:A195,A195)</f>
        <v>1</v>
      </c>
      <c r="K195">
        <f>COUNTIFS($A$2:A195,A195,$D$2:D195,D195)</f>
        <v>1</v>
      </c>
    </row>
    <row r="196" ht="14.25" customHeight="1" spans="1:11">
      <c r="A196" s="2" t="s">
        <v>577</v>
      </c>
      <c r="B196" s="2" t="str">
        <f>TRIM(A196)</f>
        <v>Montfort Secondary School</v>
      </c>
      <c r="C196" s="2" t="str">
        <f t="shared" si="3"/>
        <v>Montfort Secondary School</v>
      </c>
      <c r="D196" s="2" t="s">
        <v>20</v>
      </c>
      <c r="E196" s="2" t="s">
        <v>578</v>
      </c>
      <c r="F196" s="2" t="s">
        <v>32</v>
      </c>
      <c r="G196" s="2" t="s">
        <v>579</v>
      </c>
      <c r="I196"/>
      <c r="J196">
        <f>COUNTIF($A$2:A196,A196)</f>
        <v>1</v>
      </c>
      <c r="K196">
        <f>COUNTIFS($A$2:A196,A196,$D$2:D196,D196)</f>
        <v>1</v>
      </c>
    </row>
    <row r="197" ht="14.25" customHeight="1" spans="1:11">
      <c r="A197" s="2" t="s">
        <v>580</v>
      </c>
      <c r="B197" s="2" t="str">
        <f>TRIM(A197)</f>
        <v>Nan Chiau High School</v>
      </c>
      <c r="C197" s="2" t="str">
        <f t="shared" si="3"/>
        <v>Nan Chiau High School</v>
      </c>
      <c r="D197" s="2" t="s">
        <v>20</v>
      </c>
      <c r="E197" s="2" t="s">
        <v>581</v>
      </c>
      <c r="F197" s="2" t="s">
        <v>32</v>
      </c>
      <c r="G197" s="2" t="s">
        <v>582</v>
      </c>
      <c r="I197"/>
      <c r="J197">
        <f>COUNTIF($A$2:A197,A197)</f>
        <v>1</v>
      </c>
      <c r="K197">
        <f>COUNTIFS($A$2:A197,A197,$D$2:D197,D197)</f>
        <v>1</v>
      </c>
    </row>
    <row r="198" ht="14.25" customHeight="1" spans="1:11">
      <c r="A198" s="2" t="s">
        <v>583</v>
      </c>
      <c r="B198" s="2" t="str">
        <f>TRIM(A198)</f>
        <v>Nan Chiau Primary School</v>
      </c>
      <c r="C198" s="2" t="str">
        <f t="shared" si="3"/>
        <v>Nan Chiau Primary School</v>
      </c>
      <c r="D198" s="2" t="s">
        <v>20</v>
      </c>
      <c r="E198" s="2" t="s">
        <v>584</v>
      </c>
      <c r="F198" s="2" t="s">
        <v>14</v>
      </c>
      <c r="G198" s="2" t="s">
        <v>585</v>
      </c>
      <c r="I198"/>
      <c r="J198">
        <f>COUNTIF($A$2:A198,A198)</f>
        <v>1</v>
      </c>
      <c r="K198">
        <f>COUNTIFS($A$2:A198,A198,$D$2:D198,D198)</f>
        <v>1</v>
      </c>
    </row>
    <row r="199" ht="14.25" customHeight="1" spans="1:11">
      <c r="A199" s="2" t="s">
        <v>586</v>
      </c>
      <c r="B199" s="2" t="str">
        <f>TRIM(A199)</f>
        <v>Nan Hua High School</v>
      </c>
      <c r="C199" s="2" t="str">
        <f t="shared" si="3"/>
        <v>Nan Hua High School</v>
      </c>
      <c r="D199" s="2" t="s">
        <v>12</v>
      </c>
      <c r="E199" s="2" t="s">
        <v>587</v>
      </c>
      <c r="F199" s="2" t="s">
        <v>32</v>
      </c>
      <c r="I199"/>
      <c r="J199">
        <f>COUNTIF($A$2:A199,A199)</f>
        <v>1</v>
      </c>
      <c r="K199">
        <f>COUNTIFS($A$2:A199,A199,$D$2:D199,D199)</f>
        <v>1</v>
      </c>
    </row>
    <row r="200" ht="14.25" customHeight="1" spans="1:11">
      <c r="A200" s="2" t="s">
        <v>588</v>
      </c>
      <c r="B200" s="2" t="str">
        <f>TRIM(A200)</f>
        <v>Nan Hua Primary School</v>
      </c>
      <c r="C200" s="2" t="str">
        <f t="shared" si="3"/>
        <v>Nan Hua Primary School</v>
      </c>
      <c r="D200" s="2" t="s">
        <v>12</v>
      </c>
      <c r="E200" s="2" t="s">
        <v>589</v>
      </c>
      <c r="F200" s="2" t="s">
        <v>14</v>
      </c>
      <c r="G200" s="2" t="s">
        <v>590</v>
      </c>
      <c r="I200"/>
      <c r="J200">
        <f>COUNTIF($A$2:A200,A200)</f>
        <v>1</v>
      </c>
      <c r="K200">
        <f>COUNTIFS($A$2:A200,A200,$D$2:D200,D200)</f>
        <v>1</v>
      </c>
    </row>
    <row r="201" ht="14.25" customHeight="1" spans="1:11">
      <c r="A201" s="2" t="s">
        <v>591</v>
      </c>
      <c r="B201" s="2" t="str">
        <f>TRIM(A201)</f>
        <v>Nanyang Junior College</v>
      </c>
      <c r="C201" s="2" t="str">
        <f t="shared" si="3"/>
        <v>Nanyang Junior College</v>
      </c>
      <c r="D201" s="2" t="s">
        <v>30</v>
      </c>
      <c r="E201" s="2" t="s">
        <v>592</v>
      </c>
      <c r="F201" s="2" t="s">
        <v>57</v>
      </c>
      <c r="G201" s="2" t="s">
        <v>593</v>
      </c>
      <c r="H201" s="4" t="s">
        <v>594</v>
      </c>
      <c r="I201" s="1">
        <f>DATEVALUE(H201)</f>
        <v>44197</v>
      </c>
      <c r="J201">
        <f>COUNTIF($A$2:A201,A201)</f>
        <v>1</v>
      </c>
      <c r="K201">
        <f>COUNTIFS($A$2:A201,A201,$D$2:D201,D201)</f>
        <v>1</v>
      </c>
    </row>
    <row r="202" ht="14.25" customHeight="1" spans="1:11">
      <c r="A202" s="2" t="s">
        <v>595</v>
      </c>
      <c r="B202" s="2" t="str">
        <f>TRIM(A202)</f>
        <v>Nanyang Primary School</v>
      </c>
      <c r="C202" s="2" t="str">
        <f t="shared" si="3"/>
        <v>Nanyang Primary School</v>
      </c>
      <c r="D202" s="2" t="s">
        <v>12</v>
      </c>
      <c r="E202" s="2" t="s">
        <v>596</v>
      </c>
      <c r="F202" s="2" t="s">
        <v>14</v>
      </c>
      <c r="G202" s="2">
        <v>300</v>
      </c>
      <c r="I202"/>
      <c r="J202">
        <f>COUNTIF($A$2:A202,A202)</f>
        <v>1</v>
      </c>
      <c r="K202">
        <f>COUNTIFS($A$2:A202,A202,$D$2:D202,D202)</f>
        <v>1</v>
      </c>
    </row>
    <row r="203" ht="14.25" customHeight="1" spans="1:11">
      <c r="A203" s="2" t="s">
        <v>597</v>
      </c>
      <c r="B203" s="2" t="str">
        <f>TRIM(A203)</f>
        <v>National Junior College</v>
      </c>
      <c r="C203" s="2" t="str">
        <f t="shared" si="3"/>
        <v>National Junior College</v>
      </c>
      <c r="D203" s="2" t="s">
        <v>30</v>
      </c>
      <c r="E203" s="2" t="s">
        <v>598</v>
      </c>
      <c r="F203" s="2" t="s">
        <v>117</v>
      </c>
      <c r="G203" s="2" t="s">
        <v>599</v>
      </c>
      <c r="H203" s="4" t="s">
        <v>457</v>
      </c>
      <c r="I203" s="1">
        <f>DATEVALUE(H203)</f>
        <v>44448</v>
      </c>
      <c r="J203">
        <f>COUNTIF($A$2:A203,A203)</f>
        <v>1</v>
      </c>
      <c r="K203">
        <f>COUNTIFS($A$2:A203,A203,$D$2:D203,D203)</f>
        <v>1</v>
      </c>
    </row>
    <row r="204" ht="14.25" customHeight="1" spans="1:11">
      <c r="A204" s="2" t="s">
        <v>600</v>
      </c>
      <c r="B204" s="2" t="str">
        <f>TRIM(A204)</f>
        <v>Naval Base Primary School</v>
      </c>
      <c r="C204" s="2" t="str">
        <f t="shared" si="3"/>
        <v>Naval Base Primary School</v>
      </c>
      <c r="D204" s="2" t="s">
        <v>20</v>
      </c>
      <c r="E204" s="2" t="s">
        <v>601</v>
      </c>
      <c r="F204" s="2" t="s">
        <v>14</v>
      </c>
      <c r="G204" s="2" t="s">
        <v>602</v>
      </c>
      <c r="I204"/>
      <c r="J204">
        <f>COUNTIF($A$2:A204,A204)</f>
        <v>1</v>
      </c>
      <c r="K204">
        <f>COUNTIFS($A$2:A204,A204,$D$2:D204,D204)</f>
        <v>1</v>
      </c>
    </row>
    <row r="205" ht="14.25" customHeight="1" spans="1:11">
      <c r="A205" s="2" t="s">
        <v>603</v>
      </c>
      <c r="B205" s="2" t="str">
        <f>TRIM(A205)</f>
        <v>Naval Base Secondary School</v>
      </c>
      <c r="C205" s="2" t="str">
        <f t="shared" si="3"/>
        <v>Naval Base Secondary School</v>
      </c>
      <c r="D205" s="2" t="s">
        <v>20</v>
      </c>
      <c r="E205" s="2" t="s">
        <v>604</v>
      </c>
      <c r="F205" s="2" t="s">
        <v>32</v>
      </c>
      <c r="G205" s="2">
        <v>86</v>
      </c>
      <c r="I205"/>
      <c r="J205">
        <f>COUNTIF($A$2:A205,A205)</f>
        <v>1</v>
      </c>
      <c r="K205">
        <f>COUNTIFS($A$2:A205,A205,$D$2:D205,D205)</f>
        <v>1</v>
      </c>
    </row>
    <row r="206" ht="14.25" customHeight="1" spans="1:11">
      <c r="A206" s="2" t="s">
        <v>605</v>
      </c>
      <c r="B206" s="2" t="str">
        <f>TRIM(A206)</f>
        <v>New Town Primary School</v>
      </c>
      <c r="C206" s="2" t="str">
        <f t="shared" si="3"/>
        <v>New Town Primary School</v>
      </c>
      <c r="D206" s="2" t="s">
        <v>30</v>
      </c>
      <c r="E206" s="2" t="s">
        <v>606</v>
      </c>
      <c r="F206" s="2" t="s">
        <v>14</v>
      </c>
      <c r="G206" s="2" t="s">
        <v>607</v>
      </c>
      <c r="I206"/>
      <c r="J206">
        <f>COUNTIF($A$2:A206,A206)</f>
        <v>1</v>
      </c>
      <c r="K206">
        <f>COUNTIFS($A$2:A206,A206,$D$2:D206,D206)</f>
        <v>1</v>
      </c>
    </row>
    <row r="207" ht="14.25" customHeight="1" spans="1:11">
      <c r="A207" s="2" t="s">
        <v>608</v>
      </c>
      <c r="B207" s="2" t="str">
        <f>TRIM(A207)</f>
        <v>New Town Secondary School</v>
      </c>
      <c r="C207" s="2" t="str">
        <f t="shared" si="3"/>
        <v>New Town Secondary School</v>
      </c>
      <c r="D207" s="2" t="s">
        <v>12</v>
      </c>
      <c r="E207" s="2" t="s">
        <v>609</v>
      </c>
      <c r="F207" s="2" t="s">
        <v>32</v>
      </c>
      <c r="G207" s="2" t="s">
        <v>610</v>
      </c>
      <c r="I207"/>
      <c r="J207">
        <f>COUNTIF($A$2:A207,A207)</f>
        <v>1</v>
      </c>
      <c r="K207">
        <f>COUNTIFS($A$2:A207,A207,$D$2:D207,D207)</f>
        <v>1</v>
      </c>
    </row>
    <row r="208" ht="14.25" customHeight="1" spans="1:11">
      <c r="A208" s="2" t="s">
        <v>611</v>
      </c>
      <c r="B208" s="2" t="str">
        <f>TRIM(A208)</f>
        <v>Ngee Ann Primary School</v>
      </c>
      <c r="C208" s="2" t="str">
        <f t="shared" si="3"/>
        <v>Ngee Ann Primary School</v>
      </c>
      <c r="D208" s="2" t="s">
        <v>17</v>
      </c>
      <c r="E208" s="2" t="s">
        <v>612</v>
      </c>
      <c r="F208" s="2" t="s">
        <v>14</v>
      </c>
      <c r="G208" s="2" t="s">
        <v>613</v>
      </c>
      <c r="I208"/>
      <c r="J208">
        <f>COUNTIF($A$2:A208,A208)</f>
        <v>1</v>
      </c>
      <c r="K208">
        <f>COUNTIFS($A$2:A208,A208,$D$2:D208,D208)</f>
        <v>1</v>
      </c>
    </row>
    <row r="209" ht="14.25" customHeight="1" spans="1:11">
      <c r="A209" s="2" t="s">
        <v>614</v>
      </c>
      <c r="B209" s="2" t="str">
        <f>TRIM(A209)</f>
        <v>Ngee Ann Secondary School</v>
      </c>
      <c r="C209" s="2" t="str">
        <f t="shared" si="3"/>
        <v>Ngee Ann Secondary School</v>
      </c>
      <c r="D209" s="2" t="s">
        <v>17</v>
      </c>
      <c r="E209" s="2" t="s">
        <v>615</v>
      </c>
      <c r="F209" s="2" t="s">
        <v>32</v>
      </c>
      <c r="G209" s="2">
        <v>3</v>
      </c>
      <c r="I209"/>
      <c r="J209">
        <f>COUNTIF($A$2:A209,A209)</f>
        <v>1</v>
      </c>
      <c r="K209">
        <f>COUNTIFS($A$2:A209,A209,$D$2:D209,D209)</f>
        <v>1</v>
      </c>
    </row>
    <row r="210" ht="14.25" customHeight="1" spans="1:11">
      <c r="A210" s="2" t="s">
        <v>616</v>
      </c>
      <c r="B210" s="2" t="str">
        <f>TRIM(A210)</f>
        <v>North Spring Primary School</v>
      </c>
      <c r="C210" s="2" t="str">
        <f t="shared" si="3"/>
        <v>North Spring Primary School</v>
      </c>
      <c r="D210" s="2" t="s">
        <v>20</v>
      </c>
      <c r="E210" s="2" t="s">
        <v>617</v>
      </c>
      <c r="F210" s="2" t="s">
        <v>14</v>
      </c>
      <c r="G210" s="2" t="s">
        <v>618</v>
      </c>
      <c r="I210"/>
      <c r="J210">
        <f>COUNTIF($A$2:A210,A210)</f>
        <v>1</v>
      </c>
      <c r="K210">
        <f>COUNTIFS($A$2:A210,A210,$D$2:D210,D210)</f>
        <v>1</v>
      </c>
    </row>
    <row r="211" ht="14.25" customHeight="1" spans="1:11">
      <c r="A211" s="2" t="s">
        <v>619</v>
      </c>
      <c r="B211" s="2" t="str">
        <f>TRIM(A211)</f>
        <v>North View Primary School</v>
      </c>
      <c r="C211" s="2" t="str">
        <f t="shared" si="3"/>
        <v>North View Primary School</v>
      </c>
      <c r="D211" s="2" t="s">
        <v>20</v>
      </c>
      <c r="E211" s="2" t="s">
        <v>620</v>
      </c>
      <c r="F211" s="2" t="s">
        <v>14</v>
      </c>
      <c r="G211" s="2" t="s">
        <v>621</v>
      </c>
      <c r="I211"/>
      <c r="J211">
        <f>COUNTIF($A$2:A211,A211)</f>
        <v>1</v>
      </c>
      <c r="K211">
        <f>COUNTIFS($A$2:A211,A211,$D$2:D211,D211)</f>
        <v>1</v>
      </c>
    </row>
    <row r="212" ht="14.25" customHeight="1" spans="1:11">
      <c r="A212" s="2" t="s">
        <v>622</v>
      </c>
      <c r="B212" s="2" t="str">
        <f>TRIM(A212)</f>
        <v>North Vista Primary School</v>
      </c>
      <c r="C212" s="2" t="str">
        <f t="shared" si="3"/>
        <v>North Vista Primary School</v>
      </c>
      <c r="D212" s="2" t="s">
        <v>20</v>
      </c>
      <c r="E212" s="2" t="s">
        <v>623</v>
      </c>
      <c r="F212" s="2" t="s">
        <v>14</v>
      </c>
      <c r="G212" s="2" t="s">
        <v>624</v>
      </c>
      <c r="I212"/>
      <c r="J212">
        <f>COUNTIF($A$2:A212,A212)</f>
        <v>1</v>
      </c>
      <c r="K212">
        <f>COUNTIFS($A$2:A212,A212,$D$2:D212,D212)</f>
        <v>1</v>
      </c>
    </row>
    <row r="213" ht="14.25" customHeight="1" spans="1:11">
      <c r="A213" s="2" t="s">
        <v>625</v>
      </c>
      <c r="B213" s="2" t="str">
        <f>TRIM(A213)</f>
        <v>North Vista Secondary School</v>
      </c>
      <c r="C213" s="2" t="str">
        <f t="shared" si="3"/>
        <v>North Vista Secondary School</v>
      </c>
      <c r="D213" s="2" t="s">
        <v>20</v>
      </c>
      <c r="E213" s="2" t="s">
        <v>626</v>
      </c>
      <c r="F213" s="2" t="s">
        <v>32</v>
      </c>
      <c r="G213" s="2" t="s">
        <v>627</v>
      </c>
      <c r="I213"/>
      <c r="J213">
        <f>COUNTIF($A$2:A213,A213)</f>
        <v>1</v>
      </c>
      <c r="K213">
        <f>COUNTIFS($A$2:A213,A213,$D$2:D213,D213)</f>
        <v>1</v>
      </c>
    </row>
    <row r="214" ht="14.25" customHeight="1" spans="1:11">
      <c r="A214" s="2" t="s">
        <v>628</v>
      </c>
      <c r="B214" s="2" t="str">
        <f>TRIM(A214)</f>
        <v>Northbrooks Secondary School</v>
      </c>
      <c r="C214" s="2" t="str">
        <f t="shared" si="3"/>
        <v>Northbrooks Secondary School</v>
      </c>
      <c r="D214" s="2" t="s">
        <v>20</v>
      </c>
      <c r="E214" s="2" t="s">
        <v>629</v>
      </c>
      <c r="F214" s="2" t="s">
        <v>32</v>
      </c>
      <c r="G214" s="2">
        <v>300</v>
      </c>
      <c r="I214"/>
      <c r="J214">
        <f>COUNTIF($A$2:A214,A214)</f>
        <v>1</v>
      </c>
      <c r="K214">
        <f>COUNTIFS($A$2:A214,A214,$D$2:D214,D214)</f>
        <v>1</v>
      </c>
    </row>
    <row r="215" ht="14.25" customHeight="1" spans="1:11">
      <c r="A215" s="2" t="s">
        <v>630</v>
      </c>
      <c r="B215" s="2" t="str">
        <f>TRIM(A215)</f>
        <v>Northland Primary School</v>
      </c>
      <c r="C215" s="2" t="str">
        <f t="shared" si="3"/>
        <v>Northland Primary School</v>
      </c>
      <c r="D215" s="2" t="s">
        <v>20</v>
      </c>
      <c r="E215" s="2" t="s">
        <v>631</v>
      </c>
      <c r="F215" s="2" t="s">
        <v>14</v>
      </c>
      <c r="G215" s="2">
        <v>912</v>
      </c>
      <c r="I215"/>
      <c r="J215">
        <f>COUNTIF($A$2:A215,A215)</f>
        <v>1</v>
      </c>
      <c r="K215">
        <f>COUNTIFS($A$2:A215,A215,$D$2:D215,D215)</f>
        <v>1</v>
      </c>
    </row>
    <row r="216" ht="14.25" customHeight="1" spans="1:11">
      <c r="A216" s="2" t="s">
        <v>632</v>
      </c>
      <c r="B216" s="2" t="str">
        <f>TRIM(A216)</f>
        <v>Northland Secondary School</v>
      </c>
      <c r="C216" s="2" t="str">
        <f t="shared" si="3"/>
        <v>Northland Secondary School</v>
      </c>
      <c r="D216" s="2" t="s">
        <v>20</v>
      </c>
      <c r="E216" s="2" t="s">
        <v>633</v>
      </c>
      <c r="F216" s="2" t="s">
        <v>32</v>
      </c>
      <c r="G216" s="2" t="s">
        <v>154</v>
      </c>
      <c r="I216"/>
      <c r="J216">
        <f>COUNTIF($A$2:A216,A216)</f>
        <v>1</v>
      </c>
      <c r="K216">
        <f>COUNTIFS($A$2:A216,A216,$D$2:D216,D216)</f>
        <v>1</v>
      </c>
    </row>
    <row r="217" ht="14.25" customHeight="1" spans="1:11">
      <c r="A217" s="2" t="s">
        <v>634</v>
      </c>
      <c r="B217" s="2" t="str">
        <f>TRIM(A217)</f>
        <v>Northlight School</v>
      </c>
      <c r="C217" s="2" t="str">
        <f t="shared" si="3"/>
        <v>Northlight School</v>
      </c>
      <c r="D217" s="2" t="s">
        <v>30</v>
      </c>
      <c r="E217" s="2" t="s">
        <v>635</v>
      </c>
      <c r="F217" s="2" t="s">
        <v>32</v>
      </c>
      <c r="G217" s="2" t="s">
        <v>636</v>
      </c>
      <c r="I217"/>
      <c r="J217">
        <f>COUNTIF($A$2:A217,A217)</f>
        <v>1</v>
      </c>
      <c r="K217">
        <f>COUNTIFS($A$2:A217,A217,$D$2:D217,D217)</f>
        <v>1</v>
      </c>
    </row>
    <row r="218" ht="14.25" customHeight="1" spans="1:11">
      <c r="A218" s="2" t="s">
        <v>637</v>
      </c>
      <c r="B218" s="2" t="str">
        <f>TRIM(A218)</f>
        <v>Northoaks Primary School</v>
      </c>
      <c r="C218" s="2" t="str">
        <f t="shared" si="3"/>
        <v>Northoaks Primary School</v>
      </c>
      <c r="D218" s="2" t="s">
        <v>20</v>
      </c>
      <c r="E218" s="2" t="s">
        <v>638</v>
      </c>
      <c r="F218" s="2" t="s">
        <v>14</v>
      </c>
      <c r="G218" s="2">
        <v>962</v>
      </c>
      <c r="H218" s="4" t="s">
        <v>639</v>
      </c>
      <c r="I218" s="1">
        <f>DATEVALUE(H218)</f>
        <v>44416</v>
      </c>
      <c r="J218">
        <f>COUNTIF($A$2:A218,A218)</f>
        <v>1</v>
      </c>
      <c r="K218">
        <f>COUNTIFS($A$2:A218,A218,$D$2:D218,D218)</f>
        <v>1</v>
      </c>
    </row>
    <row r="219" ht="14.25" customHeight="1" spans="1:11">
      <c r="A219" s="2" t="s">
        <v>640</v>
      </c>
      <c r="B219" s="2" t="str">
        <f>TRIM(A219)</f>
        <v>Nus High School Of Mathematics And Science</v>
      </c>
      <c r="C219" s="2" t="str">
        <f t="shared" si="3"/>
        <v>Nus High School Of Mathematics And Science</v>
      </c>
      <c r="D219" s="2" t="s">
        <v>12</v>
      </c>
      <c r="E219" s="2" t="s">
        <v>641</v>
      </c>
      <c r="F219" s="2" t="s">
        <v>117</v>
      </c>
      <c r="G219" s="2" t="s">
        <v>642</v>
      </c>
      <c r="I219"/>
      <c r="J219">
        <f>COUNTIF($A$2:A219,A219)</f>
        <v>1</v>
      </c>
      <c r="K219">
        <f>COUNTIFS($A$2:A219,A219,$D$2:D219,D219)</f>
        <v>1</v>
      </c>
    </row>
    <row r="220" ht="14.25" customHeight="1" spans="1:11">
      <c r="A220" s="2" t="s">
        <v>643</v>
      </c>
      <c r="B220" s="2" t="str">
        <f>TRIM(A220)</f>
        <v>Oasis Primary School</v>
      </c>
      <c r="C220" s="2" t="str">
        <f t="shared" si="3"/>
        <v>Oasis Primary School</v>
      </c>
      <c r="D220" s="2" t="s">
        <v>17</v>
      </c>
      <c r="E220" s="2" t="s">
        <v>644</v>
      </c>
      <c r="F220" s="2" t="s">
        <v>14</v>
      </c>
      <c r="G220" s="2" t="s">
        <v>645</v>
      </c>
      <c r="I220"/>
      <c r="J220">
        <f>COUNTIF($A$2:A220,A220)</f>
        <v>1</v>
      </c>
      <c r="K220">
        <f>COUNTIFS($A$2:A220,A220,$D$2:D220,D220)</f>
        <v>1</v>
      </c>
    </row>
    <row r="221" ht="14.25" customHeight="1" spans="1:11">
      <c r="A221" s="2" t="s">
        <v>646</v>
      </c>
      <c r="B221" s="2" t="str">
        <f>TRIM(A221)</f>
        <v>Orchid Park Secondary School</v>
      </c>
      <c r="C221" s="2" t="str">
        <f t="shared" si="3"/>
        <v>Orchid Park Secondary School</v>
      </c>
      <c r="D221" s="2" t="s">
        <v>20</v>
      </c>
      <c r="E221" s="2" t="s">
        <v>647</v>
      </c>
      <c r="F221" s="2" t="s">
        <v>32</v>
      </c>
      <c r="G221" s="2" t="s">
        <v>648</v>
      </c>
      <c r="I221"/>
      <c r="J221">
        <f>COUNTIF($A$2:A221,A221)</f>
        <v>1</v>
      </c>
      <c r="K221">
        <f>COUNTIFS($A$2:A221,A221,$D$2:D221,D221)</f>
        <v>1</v>
      </c>
    </row>
    <row r="222" ht="14.25" customHeight="1" spans="1:11">
      <c r="A222" s="2" t="s">
        <v>649</v>
      </c>
      <c r="B222" s="2" t="str">
        <f>TRIM(A222)</f>
        <v>Outram Secondary School</v>
      </c>
      <c r="C222" s="2" t="str">
        <f t="shared" si="3"/>
        <v>Outram Secondary School</v>
      </c>
      <c r="D222" s="2" t="s">
        <v>30</v>
      </c>
      <c r="E222" s="2" t="s">
        <v>650</v>
      </c>
      <c r="F222" s="2" t="s">
        <v>32</v>
      </c>
      <c r="G222" s="2" t="s">
        <v>651</v>
      </c>
      <c r="I222"/>
      <c r="J222">
        <f>COUNTIF($A$2:A222,A222)</f>
        <v>1</v>
      </c>
      <c r="K222">
        <f>COUNTIFS($A$2:A222,A222,$D$2:D222,D222)</f>
        <v>1</v>
      </c>
    </row>
    <row r="223" ht="14.25" customHeight="1" spans="1:11">
      <c r="A223" s="2" t="s">
        <v>652</v>
      </c>
      <c r="B223" s="2" t="str">
        <f>TRIM(A223)</f>
        <v>Park View Primary School</v>
      </c>
      <c r="C223" s="2" t="str">
        <f t="shared" si="3"/>
        <v>Park View Primary School</v>
      </c>
      <c r="D223" s="2" t="s">
        <v>17</v>
      </c>
      <c r="E223" s="2" t="s">
        <v>653</v>
      </c>
      <c r="F223" s="2" t="s">
        <v>14</v>
      </c>
      <c r="G223" s="2" t="s">
        <v>654</v>
      </c>
      <c r="I223"/>
      <c r="J223">
        <f>COUNTIF($A$2:A223,A223)</f>
        <v>1</v>
      </c>
      <c r="K223">
        <f>COUNTIFS($A$2:A223,A223,$D$2:D223,D223)</f>
        <v>1</v>
      </c>
    </row>
    <row r="224" ht="14.25" customHeight="1" spans="1:11">
      <c r="A224" s="2" t="s">
        <v>655</v>
      </c>
      <c r="B224" s="2" t="str">
        <f>TRIM(A224)</f>
        <v>Pasir Ris Crest Secondary School</v>
      </c>
      <c r="C224" s="2" t="str">
        <f t="shared" si="3"/>
        <v>Pasir Ris Crest Secondary School</v>
      </c>
      <c r="D224" s="2" t="s">
        <v>17</v>
      </c>
      <c r="E224" s="2" t="s">
        <v>656</v>
      </c>
      <c r="F224" s="2" t="s">
        <v>32</v>
      </c>
      <c r="G224" s="2" t="s">
        <v>657</v>
      </c>
      <c r="I224"/>
      <c r="J224">
        <f>COUNTIF($A$2:A224,A224)</f>
        <v>1</v>
      </c>
      <c r="K224">
        <f>COUNTIFS($A$2:A224,A224,$D$2:D224,D224)</f>
        <v>1</v>
      </c>
    </row>
    <row r="225" ht="14.25" customHeight="1" spans="1:11">
      <c r="A225" s="2" t="s">
        <v>658</v>
      </c>
      <c r="B225" s="2" t="str">
        <f>TRIM(A225)</f>
        <v>Pasir Ris Primary School</v>
      </c>
      <c r="C225" s="2" t="str">
        <f t="shared" si="3"/>
        <v>Pasir Ris Primary School</v>
      </c>
      <c r="D225" s="2" t="s">
        <v>17</v>
      </c>
      <c r="E225" s="2" t="s">
        <v>659</v>
      </c>
      <c r="F225" s="2" t="s">
        <v>14</v>
      </c>
      <c r="G225" s="2" t="s">
        <v>660</v>
      </c>
      <c r="I225"/>
      <c r="J225">
        <f>COUNTIF($A$2:A225,A225)</f>
        <v>1</v>
      </c>
      <c r="K225">
        <f>COUNTIFS($A$2:A225,A225,$D$2:D225,D225)</f>
        <v>1</v>
      </c>
    </row>
    <row r="226" ht="14.25" customHeight="1" spans="1:11">
      <c r="A226" s="2" t="s">
        <v>661</v>
      </c>
      <c r="B226" s="2" t="str">
        <f>TRIM(A226)</f>
        <v>Pasir Ris Secondary School</v>
      </c>
      <c r="C226" s="2" t="str">
        <f t="shared" si="3"/>
        <v>Pasir Ris Secondary School</v>
      </c>
      <c r="D226" s="2" t="s">
        <v>17</v>
      </c>
      <c r="E226" s="2" t="s">
        <v>662</v>
      </c>
      <c r="F226" s="2" t="s">
        <v>32</v>
      </c>
      <c r="G226" s="2" t="s">
        <v>663</v>
      </c>
      <c r="H226" s="3" t="s">
        <v>457</v>
      </c>
      <c r="I226" s="1">
        <f>DATEVALUE(H226)</f>
        <v>44448</v>
      </c>
      <c r="J226">
        <f>COUNTIF($A$2:A226,A226)</f>
        <v>1</v>
      </c>
      <c r="K226">
        <f>COUNTIFS($A$2:A226,A226,$D$2:D226,D226)</f>
        <v>1</v>
      </c>
    </row>
    <row r="227" ht="14.25" customHeight="1" spans="1:11">
      <c r="A227" s="2" t="s">
        <v>664</v>
      </c>
      <c r="B227" s="2" t="str">
        <f>TRIM(A227)</f>
        <v>Paya Lebar Methodist Girls' School (Primary)</v>
      </c>
      <c r="C227" s="2" t="str">
        <f t="shared" si="3"/>
        <v>Paya Lebar Methodist Girls' School (Primary)</v>
      </c>
      <c r="D227" s="2" t="s">
        <v>17</v>
      </c>
      <c r="E227" s="2" t="s">
        <v>665</v>
      </c>
      <c r="F227" s="2" t="s">
        <v>14</v>
      </c>
      <c r="G227" s="2" t="s">
        <v>666</v>
      </c>
      <c r="I227"/>
      <c r="J227">
        <f>COUNTIF($A$2:A227,A227)</f>
        <v>1</v>
      </c>
      <c r="K227">
        <f>COUNTIFS($A$2:A227,A227,$D$2:D227,D227)</f>
        <v>1</v>
      </c>
    </row>
    <row r="228" ht="14.25" customHeight="1" spans="1:11">
      <c r="A228" s="2" t="s">
        <v>667</v>
      </c>
      <c r="B228" s="2" t="str">
        <f>TRIM(A228)</f>
        <v>Paya Lebar Methodist Girls' School (Secondary)</v>
      </c>
      <c r="C228" s="2" t="str">
        <f t="shared" si="3"/>
        <v>Paya Lebar Methodist Girls' School (Secondary)</v>
      </c>
      <c r="D228" s="2" t="s">
        <v>17</v>
      </c>
      <c r="E228" s="2" t="s">
        <v>668</v>
      </c>
      <c r="F228" s="2" t="s">
        <v>32</v>
      </c>
      <c r="G228" s="2" t="s">
        <v>669</v>
      </c>
      <c r="I228"/>
      <c r="J228">
        <f>COUNTIF($A$2:A228,A228)</f>
        <v>1</v>
      </c>
      <c r="K228">
        <f>COUNTIFS($A$2:A228,A228,$D$2:D228,D228)</f>
        <v>1</v>
      </c>
    </row>
    <row r="229" ht="14.25" customHeight="1" spans="1:11">
      <c r="A229" s="2" t="s">
        <v>670</v>
      </c>
      <c r="B229" s="2" t="str">
        <f>TRIM(A229)</f>
        <v>Pei Chun Public School</v>
      </c>
      <c r="C229" s="2" t="str">
        <f t="shared" si="3"/>
        <v>Pei Chun Public School</v>
      </c>
      <c r="D229" s="2" t="s">
        <v>30</v>
      </c>
      <c r="E229" s="2" t="s">
        <v>671</v>
      </c>
      <c r="F229" s="2" t="s">
        <v>14</v>
      </c>
      <c r="G229" s="2" t="s">
        <v>672</v>
      </c>
      <c r="H229" s="4" t="s">
        <v>639</v>
      </c>
      <c r="I229" s="1">
        <f>DATEVALUE(H229)</f>
        <v>44416</v>
      </c>
      <c r="J229">
        <f>COUNTIF($A$2:A229,A229)</f>
        <v>1</v>
      </c>
      <c r="K229">
        <f>COUNTIFS($A$2:A229,A229,$D$2:D229,D229)</f>
        <v>1</v>
      </c>
    </row>
    <row r="230" ht="14.25" customHeight="1" spans="1:11">
      <c r="A230" s="2" t="s">
        <v>673</v>
      </c>
      <c r="B230" s="2" t="str">
        <f>TRIM(A230)</f>
        <v>Pei Hwa Presbyterian Primary School</v>
      </c>
      <c r="C230" s="2" t="str">
        <f t="shared" si="3"/>
        <v>Pei Hwa Presbyterian Primary School</v>
      </c>
      <c r="D230" s="2" t="s">
        <v>12</v>
      </c>
      <c r="E230" s="2" t="s">
        <v>674</v>
      </c>
      <c r="F230" s="2" t="s">
        <v>14</v>
      </c>
      <c r="G230" s="2" t="s">
        <v>675</v>
      </c>
      <c r="I230"/>
      <c r="J230">
        <f>COUNTIF($A$2:A230,A230)</f>
        <v>1</v>
      </c>
      <c r="K230">
        <f>COUNTIFS($A$2:A230,A230,$D$2:D230,D230)</f>
        <v>1</v>
      </c>
    </row>
    <row r="231" ht="14.25" customHeight="1" spans="1:11">
      <c r="A231" s="2" t="s">
        <v>676</v>
      </c>
      <c r="B231" s="2" t="str">
        <f>TRIM(A231)</f>
        <v>Pei Hwa Secondary School</v>
      </c>
      <c r="C231" s="2" t="str">
        <f t="shared" si="3"/>
        <v>Pei Hwa Secondary School</v>
      </c>
      <c r="D231" s="2" t="s">
        <v>20</v>
      </c>
      <c r="E231" s="2" t="s">
        <v>677</v>
      </c>
      <c r="F231" s="2" t="s">
        <v>32</v>
      </c>
      <c r="G231" s="2" t="s">
        <v>678</v>
      </c>
      <c r="I231"/>
      <c r="J231">
        <f>COUNTIF($A$2:A231,A231)</f>
        <v>1</v>
      </c>
      <c r="K231">
        <f>COUNTIFS($A$2:A231,A231,$D$2:D231,D231)</f>
        <v>1</v>
      </c>
    </row>
    <row r="232" ht="14.25" customHeight="1" spans="1:11">
      <c r="A232" s="2" t="s">
        <v>679</v>
      </c>
      <c r="B232" s="2" t="str">
        <f>TRIM(A232)</f>
        <v>Pei Tong Primary School</v>
      </c>
      <c r="C232" s="2" t="str">
        <f t="shared" si="3"/>
        <v>Pei Tong Primary School</v>
      </c>
      <c r="D232" s="2" t="s">
        <v>30</v>
      </c>
      <c r="E232" s="2" t="s">
        <v>680</v>
      </c>
      <c r="F232" s="2" t="s">
        <v>14</v>
      </c>
      <c r="I232"/>
      <c r="J232">
        <f>COUNTIF($A$2:A232,A232)</f>
        <v>1</v>
      </c>
      <c r="K232">
        <f>COUNTIFS($A$2:A232,A232,$D$2:D232,D232)</f>
        <v>1</v>
      </c>
    </row>
    <row r="233" ht="14.25" customHeight="1" spans="1:11">
      <c r="A233" s="2" t="s">
        <v>681</v>
      </c>
      <c r="B233" s="2" t="str">
        <f>TRIM(A233)</f>
        <v>Peicai Secondary School</v>
      </c>
      <c r="C233" s="2" t="str">
        <f t="shared" si="3"/>
        <v>Peicai Secondary School</v>
      </c>
      <c r="D233" s="2" t="s">
        <v>30</v>
      </c>
      <c r="E233" s="2" t="s">
        <v>682</v>
      </c>
      <c r="F233" s="2" t="s">
        <v>32</v>
      </c>
      <c r="G233" s="2" t="s">
        <v>683</v>
      </c>
      <c r="I233"/>
      <c r="J233">
        <f>COUNTIF($A$2:A233,A233)</f>
        <v>1</v>
      </c>
      <c r="K233">
        <f>COUNTIFS($A$2:A233,A233,$D$2:D233,D233)</f>
        <v>1</v>
      </c>
    </row>
    <row r="234" ht="14.25" customHeight="1" spans="1:11">
      <c r="A234" s="2" t="s">
        <v>684</v>
      </c>
      <c r="B234" s="2" t="str">
        <f>TRIM(A234)</f>
        <v>Peirce Secondary School</v>
      </c>
      <c r="C234" s="2" t="str">
        <f t="shared" si="3"/>
        <v>Peirce Secondary School</v>
      </c>
      <c r="D234" s="2" t="s">
        <v>30</v>
      </c>
      <c r="E234" s="2" t="s">
        <v>685</v>
      </c>
      <c r="F234" s="2" t="s">
        <v>32</v>
      </c>
      <c r="G234" s="2" t="s">
        <v>686</v>
      </c>
      <c r="I234"/>
      <c r="J234">
        <f>COUNTIF($A$2:A234,A234)</f>
        <v>1</v>
      </c>
      <c r="K234">
        <f>COUNTIFS($A$2:A234,A234,$D$2:D234,D234)</f>
        <v>1</v>
      </c>
    </row>
    <row r="235" ht="14.25" customHeight="1" spans="1:11">
      <c r="A235" s="2" t="s">
        <v>687</v>
      </c>
      <c r="B235" s="2" t="str">
        <f>TRIM(A235)</f>
        <v>Peiying Primary School</v>
      </c>
      <c r="C235" s="2" t="str">
        <f t="shared" si="3"/>
        <v>Peiying Primary School</v>
      </c>
      <c r="D235" s="2" t="s">
        <v>20</v>
      </c>
      <c r="E235" s="2" t="s">
        <v>688</v>
      </c>
      <c r="F235" s="2" t="s">
        <v>14</v>
      </c>
      <c r="I235"/>
      <c r="J235">
        <f>COUNTIF($A$2:A235,A235)</f>
        <v>1</v>
      </c>
      <c r="K235">
        <f>COUNTIFS($A$2:A235,A235,$D$2:D235,D235)</f>
        <v>1</v>
      </c>
    </row>
    <row r="236" ht="14.25" customHeight="1" spans="1:11">
      <c r="A236" s="2" t="s">
        <v>689</v>
      </c>
      <c r="B236" s="2" t="str">
        <f>TRIM(A236)</f>
        <v>Ping Yi Secondary School</v>
      </c>
      <c r="C236" s="2" t="str">
        <f t="shared" si="3"/>
        <v>Ping Yi Secondary School</v>
      </c>
      <c r="D236" s="2" t="s">
        <v>17</v>
      </c>
      <c r="E236" s="2" t="s">
        <v>690</v>
      </c>
      <c r="F236" s="2" t="s">
        <v>32</v>
      </c>
      <c r="G236" s="2" t="s">
        <v>691</v>
      </c>
      <c r="I236"/>
      <c r="J236">
        <f>COUNTIF($A$2:A236,A236)</f>
        <v>1</v>
      </c>
      <c r="K236">
        <f>COUNTIFS($A$2:A236,A236,$D$2:D236,D236)</f>
        <v>1</v>
      </c>
    </row>
    <row r="237" ht="14.25" customHeight="1" spans="1:11">
      <c r="A237" s="2" t="s">
        <v>692</v>
      </c>
      <c r="B237" s="2" t="str">
        <f>TRIM(A237)</f>
        <v>Pioneer Primary SCHOOL</v>
      </c>
      <c r="C237" s="2" t="str">
        <f t="shared" si="3"/>
        <v>Pioneer Primary School</v>
      </c>
      <c r="D237" s="2" t="s">
        <v>12</v>
      </c>
      <c r="E237" s="2" t="s">
        <v>693</v>
      </c>
      <c r="F237" s="2" t="s">
        <v>14</v>
      </c>
      <c r="G237" s="2" t="s">
        <v>694</v>
      </c>
      <c r="I237"/>
      <c r="J237">
        <f>COUNTIF($A$2:A237,A237)</f>
        <v>1</v>
      </c>
      <c r="K237">
        <f>COUNTIFS($A$2:A237,A237,$D$2:D237,D237)</f>
        <v>1</v>
      </c>
    </row>
    <row r="238" ht="14.25" customHeight="1" spans="1:11">
      <c r="A238" s="2" t="s">
        <v>695</v>
      </c>
      <c r="B238" s="2" t="str">
        <f>TRIM(A238)</f>
        <v>Poi Ching School</v>
      </c>
      <c r="C238" s="2" t="str">
        <f t="shared" si="3"/>
        <v>Poi Ching School</v>
      </c>
      <c r="D238" s="2" t="s">
        <v>17</v>
      </c>
      <c r="E238" s="2" t="s">
        <v>696</v>
      </c>
      <c r="F238" s="2" t="s">
        <v>14</v>
      </c>
      <c r="G238" s="2" t="s">
        <v>697</v>
      </c>
      <c r="I238"/>
      <c r="J238">
        <f>COUNTIF($A$2:A238,A238)</f>
        <v>1</v>
      </c>
      <c r="K238">
        <f>COUNTIFS($A$2:A238,A238,$D$2:D238,D238)</f>
        <v>1</v>
      </c>
    </row>
    <row r="239" ht="14.25" customHeight="1" spans="1:11">
      <c r="A239" s="2" t="s">
        <v>698</v>
      </c>
      <c r="B239" s="2" t="str">
        <f>TRIM(A239)</f>
        <v>Presbyterian High School</v>
      </c>
      <c r="C239" s="2" t="str">
        <f t="shared" si="3"/>
        <v>Presbyterian High School</v>
      </c>
      <c r="D239" s="2" t="s">
        <v>20</v>
      </c>
      <c r="E239" s="2" t="s">
        <v>699</v>
      </c>
      <c r="F239" s="2" t="s">
        <v>32</v>
      </c>
      <c r="G239" s="2" t="s">
        <v>529</v>
      </c>
      <c r="I239"/>
      <c r="J239">
        <f>COUNTIF($A$2:A239,A239)</f>
        <v>1</v>
      </c>
      <c r="K239">
        <f>COUNTIFS($A$2:A239,A239,$D$2:D239,D239)</f>
        <v>1</v>
      </c>
    </row>
    <row r="240" ht="14.25" customHeight="1" spans="1:11">
      <c r="A240" s="2" t="s">
        <v>700</v>
      </c>
      <c r="B240" s="2" t="str">
        <f>TRIM(A240)</f>
        <v>Princess Elizabeth Primary School</v>
      </c>
      <c r="C240" s="2" t="str">
        <f t="shared" si="3"/>
        <v>Princess Elizabeth Primary School</v>
      </c>
      <c r="D240" s="2" t="s">
        <v>12</v>
      </c>
      <c r="E240" s="2" t="s">
        <v>701</v>
      </c>
      <c r="F240" s="2" t="s">
        <v>14</v>
      </c>
      <c r="G240" s="2">
        <v>300</v>
      </c>
      <c r="I240"/>
      <c r="J240">
        <f>COUNTIF($A$2:A240,A240)</f>
        <v>1</v>
      </c>
      <c r="K240">
        <f>COUNTIFS($A$2:A240,A240,$D$2:D240,D240)</f>
        <v>1</v>
      </c>
    </row>
    <row r="241" ht="14.25" customHeight="1" spans="1:11">
      <c r="A241" s="2" t="s">
        <v>702</v>
      </c>
      <c r="B241" s="2" t="str">
        <f>TRIM(A241)</f>
        <v>Punggol Cove Primary School</v>
      </c>
      <c r="C241" s="2" t="str">
        <f t="shared" si="3"/>
        <v>Punggol Cove Primary School</v>
      </c>
      <c r="D241" s="2" t="s">
        <v>17</v>
      </c>
      <c r="E241" s="2" t="s">
        <v>703</v>
      </c>
      <c r="F241" s="2" t="s">
        <v>14</v>
      </c>
      <c r="G241" s="2" t="s">
        <v>704</v>
      </c>
      <c r="I241"/>
      <c r="J241">
        <f>COUNTIF($A$2:A241,A241)</f>
        <v>1</v>
      </c>
      <c r="K241">
        <f>COUNTIFS($A$2:A241,A241,$D$2:D241,D241)</f>
        <v>1</v>
      </c>
    </row>
    <row r="242" ht="14.25" customHeight="1" spans="1:11">
      <c r="A242" s="2" t="s">
        <v>705</v>
      </c>
      <c r="B242" s="2" t="str">
        <f>TRIM(A242)</f>
        <v>Punggol Green Primary SCHOOL</v>
      </c>
      <c r="C242" s="2" t="str">
        <f t="shared" si="3"/>
        <v>Punggol Green Primary School</v>
      </c>
      <c r="D242" s="2" t="s">
        <v>17</v>
      </c>
      <c r="E242" s="2" t="s">
        <v>706</v>
      </c>
      <c r="F242" s="2" t="s">
        <v>14</v>
      </c>
      <c r="G242" s="2" t="s">
        <v>707</v>
      </c>
      <c r="I242"/>
      <c r="J242">
        <f>COUNTIF($A$2:A242,A242)</f>
        <v>1</v>
      </c>
      <c r="K242">
        <f>COUNTIFS($A$2:A242,A242,$D$2:D242,D242)</f>
        <v>1</v>
      </c>
    </row>
    <row r="243" ht="14.25" customHeight="1" spans="1:11">
      <c r="A243" s="2" t="s">
        <v>708</v>
      </c>
      <c r="B243" s="2" t="str">
        <f>TRIM(A243)</f>
        <v>Punggol Primary School</v>
      </c>
      <c r="C243" s="2" t="str">
        <f t="shared" si="3"/>
        <v>Punggol Primary School</v>
      </c>
      <c r="D243" s="2" t="s">
        <v>30</v>
      </c>
      <c r="E243" s="2" t="s">
        <v>709</v>
      </c>
      <c r="F243" s="2" t="s">
        <v>14</v>
      </c>
      <c r="G243" s="2" t="s">
        <v>710</v>
      </c>
      <c r="I243"/>
      <c r="J243">
        <f>COUNTIF($A$2:A243,A243)</f>
        <v>1</v>
      </c>
      <c r="K243">
        <f>COUNTIFS($A$2:A243,A243,$D$2:D243,D243)</f>
        <v>1</v>
      </c>
    </row>
    <row r="244" ht="14.25" customHeight="1" spans="1:11">
      <c r="A244" s="2" t="s">
        <v>711</v>
      </c>
      <c r="B244" s="2" t="str">
        <f>TRIM(A244)</f>
        <v>Punggol Secondary School</v>
      </c>
      <c r="C244" s="2" t="str">
        <f t="shared" si="3"/>
        <v>Punggol Secondary School</v>
      </c>
      <c r="D244" s="2" t="s">
        <v>20</v>
      </c>
      <c r="E244" s="2" t="s">
        <v>712</v>
      </c>
      <c r="F244" s="2" t="s">
        <v>32</v>
      </c>
      <c r="G244" s="2" t="s">
        <v>713</v>
      </c>
      <c r="I244"/>
      <c r="J244">
        <f>COUNTIF($A$2:A244,A244)</f>
        <v>1</v>
      </c>
      <c r="K244">
        <f>COUNTIFS($A$2:A244,A244,$D$2:D244,D244)</f>
        <v>1</v>
      </c>
    </row>
    <row r="245" ht="14.25" customHeight="1" spans="1:11">
      <c r="A245" s="2" t="s">
        <v>714</v>
      </c>
      <c r="B245" s="2" t="str">
        <f>TRIM(A245)</f>
        <v>Punggol View Primary SCHOOL</v>
      </c>
      <c r="C245" s="2" t="str">
        <f t="shared" si="3"/>
        <v>Punggol View Primary School</v>
      </c>
      <c r="D245" s="2" t="s">
        <v>17</v>
      </c>
      <c r="E245" s="2" t="s">
        <v>715</v>
      </c>
      <c r="F245" s="2" t="s">
        <v>14</v>
      </c>
      <c r="G245" s="2" t="s">
        <v>716</v>
      </c>
      <c r="I245"/>
      <c r="J245">
        <f>COUNTIF($A$2:A245,A245)</f>
        <v>1</v>
      </c>
      <c r="K245">
        <f>COUNTIFS($A$2:A245,A245,$D$2:D245,D245)</f>
        <v>1</v>
      </c>
    </row>
    <row r="246" ht="14.25" customHeight="1" spans="1:11">
      <c r="A246" s="2" t="s">
        <v>717</v>
      </c>
      <c r="B246" s="2" t="str">
        <f>TRIM(A246)</f>
        <v>Qifa Primary School</v>
      </c>
      <c r="C246" s="2" t="str">
        <f t="shared" si="3"/>
        <v>Qifa Primary School</v>
      </c>
      <c r="D246" s="2" t="s">
        <v>12</v>
      </c>
      <c r="E246" s="2" t="s">
        <v>718</v>
      </c>
      <c r="F246" s="2" t="s">
        <v>14</v>
      </c>
      <c r="G246" s="2" t="s">
        <v>719</v>
      </c>
      <c r="I246"/>
      <c r="J246">
        <f>COUNTIF($A$2:A246,A246)</f>
        <v>1</v>
      </c>
      <c r="K246">
        <f>COUNTIFS($A$2:A246,A246,$D$2:D246,D246)</f>
        <v>1</v>
      </c>
    </row>
    <row r="247" ht="14.25" customHeight="1" spans="1:11">
      <c r="A247" s="2" t="s">
        <v>720</v>
      </c>
      <c r="B247" s="2" t="str">
        <f>TRIM(A247)</f>
        <v>Qihua Primary School</v>
      </c>
      <c r="C247" s="2" t="str">
        <f t="shared" si="3"/>
        <v>Qihua Primary School</v>
      </c>
      <c r="D247" s="2" t="s">
        <v>20</v>
      </c>
      <c r="E247" s="2" t="s">
        <v>721</v>
      </c>
      <c r="F247" s="2" t="s">
        <v>14</v>
      </c>
      <c r="G247" s="2" t="s">
        <v>722</v>
      </c>
      <c r="I247"/>
      <c r="J247">
        <f>COUNTIF($A$2:A247,A247)</f>
        <v>1</v>
      </c>
      <c r="K247">
        <f>COUNTIFS($A$2:A247,A247,$D$2:D247,D247)</f>
        <v>1</v>
      </c>
    </row>
    <row r="248" ht="14.25" customHeight="1" spans="1:11">
      <c r="A248" s="2" t="s">
        <v>723</v>
      </c>
      <c r="B248" s="2" t="str">
        <f>TRIM(A248)</f>
        <v>Queenstown Primary School</v>
      </c>
      <c r="C248" s="2" t="str">
        <f t="shared" si="3"/>
        <v>Queenstown Primary School</v>
      </c>
      <c r="D248" s="2" t="s">
        <v>30</v>
      </c>
      <c r="E248" s="2" t="s">
        <v>724</v>
      </c>
      <c r="F248" s="2" t="s">
        <v>14</v>
      </c>
      <c r="G248" s="2" t="s">
        <v>725</v>
      </c>
      <c r="I248"/>
      <c r="J248">
        <f>COUNTIF($A$2:A248,A248)</f>
        <v>1</v>
      </c>
      <c r="K248">
        <f>COUNTIFS($A$2:A248,A248,$D$2:D248,D248)</f>
        <v>1</v>
      </c>
    </row>
    <row r="249" ht="14.25" customHeight="1" spans="1:11">
      <c r="A249" s="2" t="s">
        <v>726</v>
      </c>
      <c r="B249" s="2" t="str">
        <f>TRIM(A249)</f>
        <v>Queenstown Secondary School</v>
      </c>
      <c r="C249" s="2" t="str">
        <f t="shared" si="3"/>
        <v>Queenstown Secondary School</v>
      </c>
      <c r="D249" s="2" t="s">
        <v>30</v>
      </c>
      <c r="E249" s="2" t="s">
        <v>727</v>
      </c>
      <c r="F249" s="2" t="s">
        <v>32</v>
      </c>
      <c r="G249" s="2" t="s">
        <v>728</v>
      </c>
      <c r="I249"/>
      <c r="J249">
        <f>COUNTIF($A$2:A249,A249)</f>
        <v>1</v>
      </c>
      <c r="K249">
        <f>COUNTIFS($A$2:A249,A249,$D$2:D249,D249)</f>
        <v>1</v>
      </c>
    </row>
    <row r="250" ht="14.25" customHeight="1" spans="1:11">
      <c r="A250" s="2" t="s">
        <v>729</v>
      </c>
      <c r="B250" s="2" t="str">
        <f>TRIM(A250)</f>
        <v>Queensway Secondary School</v>
      </c>
      <c r="C250" s="2" t="str">
        <f t="shared" si="3"/>
        <v>Queensway Secondary School</v>
      </c>
      <c r="D250" s="2" t="s">
        <v>30</v>
      </c>
      <c r="E250" s="2" t="s">
        <v>730</v>
      </c>
      <c r="F250" s="2" t="s">
        <v>32</v>
      </c>
      <c r="G250" s="2" t="s">
        <v>731</v>
      </c>
      <c r="I250"/>
      <c r="J250">
        <f>COUNTIF($A$2:A250,A250)</f>
        <v>1</v>
      </c>
      <c r="K250">
        <f>COUNTIFS($A$2:A250,A250,$D$2:D250,D250)</f>
        <v>1</v>
      </c>
    </row>
    <row r="251" ht="14.25" customHeight="1" spans="1:11">
      <c r="A251" s="2" t="s">
        <v>732</v>
      </c>
      <c r="B251" s="2" t="str">
        <f>TRIM(A251)</f>
        <v>Radin Mas Primary School</v>
      </c>
      <c r="C251" s="2" t="str">
        <f t="shared" si="3"/>
        <v>Radin Mas Primary School</v>
      </c>
      <c r="D251" s="2" t="s">
        <v>30</v>
      </c>
      <c r="E251" s="2" t="s">
        <v>733</v>
      </c>
      <c r="F251" s="2" t="s">
        <v>14</v>
      </c>
      <c r="G251" s="2" t="s">
        <v>734</v>
      </c>
      <c r="I251"/>
      <c r="J251">
        <f>COUNTIF($A$2:A251,A251)</f>
        <v>1</v>
      </c>
      <c r="K251">
        <f>COUNTIFS($A$2:A251,A251,$D$2:D251,D251)</f>
        <v>1</v>
      </c>
    </row>
    <row r="252" ht="14.25" customHeight="1" spans="1:11">
      <c r="A252" s="2" t="s">
        <v>735</v>
      </c>
      <c r="B252" s="2" t="str">
        <f>TRIM(A252)</f>
        <v>Raffles Girls' Primary School</v>
      </c>
      <c r="C252" s="2" t="str">
        <f t="shared" si="3"/>
        <v>Raffles Girls' Primary School</v>
      </c>
      <c r="D252" s="2" t="s">
        <v>30</v>
      </c>
      <c r="E252" s="2" t="s">
        <v>736</v>
      </c>
      <c r="F252" s="2" t="s">
        <v>14</v>
      </c>
      <c r="G252" s="2" t="s">
        <v>737</v>
      </c>
      <c r="I252"/>
      <c r="J252">
        <f>COUNTIF($A$2:A252,A252)</f>
        <v>1</v>
      </c>
      <c r="K252">
        <f>COUNTIFS($A$2:A252,A252,$D$2:D252,D252)</f>
        <v>1</v>
      </c>
    </row>
    <row r="253" ht="14.25" customHeight="1" spans="1:11">
      <c r="A253" s="2" t="s">
        <v>738</v>
      </c>
      <c r="B253" s="2" t="str">
        <f>TRIM(A253)</f>
        <v>Raffles Girls' School (Secondary)</v>
      </c>
      <c r="C253" s="2" t="str">
        <f t="shared" si="3"/>
        <v>Raffles Girls' School (Secondary)</v>
      </c>
      <c r="D253" s="2" t="s">
        <v>30</v>
      </c>
      <c r="E253" s="2" t="s">
        <v>739</v>
      </c>
      <c r="F253" s="2" t="s">
        <v>32</v>
      </c>
      <c r="G253" s="2" t="s">
        <v>740</v>
      </c>
      <c r="I253"/>
      <c r="J253">
        <f>COUNTIF($A$2:A253,A253)</f>
        <v>1</v>
      </c>
      <c r="K253">
        <f>COUNTIFS($A$2:A253,A253,$D$2:D253,D253)</f>
        <v>1</v>
      </c>
    </row>
    <row r="254" ht="14.25" customHeight="1" spans="1:11">
      <c r="A254" s="2" t="s">
        <v>741</v>
      </c>
      <c r="B254" s="2" t="str">
        <f>TRIM(A254)</f>
        <v>Raffles Institution</v>
      </c>
      <c r="C254" s="2" t="str">
        <f t="shared" si="3"/>
        <v>Raffles Institution</v>
      </c>
      <c r="D254" s="2" t="s">
        <v>30</v>
      </c>
      <c r="E254" s="2" t="s">
        <v>742</v>
      </c>
      <c r="F254" s="2" t="s">
        <v>117</v>
      </c>
      <c r="G254" s="2" t="s">
        <v>212</v>
      </c>
      <c r="I254"/>
      <c r="J254">
        <f>COUNTIF($A$2:A254,A254)</f>
        <v>1</v>
      </c>
      <c r="K254">
        <f>COUNTIFS($A$2:A254,A254,$D$2:D254,D254)</f>
        <v>1</v>
      </c>
    </row>
    <row r="255" ht="14.25" customHeight="1" spans="1:11">
      <c r="A255" s="2" t="s">
        <v>743</v>
      </c>
      <c r="B255" s="2" t="str">
        <f>TRIM(A255)</f>
        <v>Red Swastika School</v>
      </c>
      <c r="C255" s="2" t="str">
        <f t="shared" si="3"/>
        <v>Red Swastika School</v>
      </c>
      <c r="D255" s="2" t="s">
        <v>17</v>
      </c>
      <c r="E255" s="2" t="s">
        <v>744</v>
      </c>
      <c r="F255" s="2" t="s">
        <v>14</v>
      </c>
      <c r="G255" s="2" t="s">
        <v>745</v>
      </c>
      <c r="I255"/>
      <c r="J255">
        <f>COUNTIF($A$2:A255,A255)</f>
        <v>1</v>
      </c>
      <c r="K255">
        <f>COUNTIFS($A$2:A255,A255,$D$2:D255,D255)</f>
        <v>1</v>
      </c>
    </row>
    <row r="256" ht="14.25" customHeight="1" spans="1:11">
      <c r="A256" s="2" t="s">
        <v>746</v>
      </c>
      <c r="B256" s="2" t="str">
        <f>TRIM(A256)</f>
        <v>Regent Secondary School</v>
      </c>
      <c r="C256" s="2" t="str">
        <f t="shared" si="3"/>
        <v>Regent Secondary School</v>
      </c>
      <c r="D256" s="2" t="s">
        <v>12</v>
      </c>
      <c r="E256" s="2" t="s">
        <v>747</v>
      </c>
      <c r="F256" s="2" t="s">
        <v>32</v>
      </c>
      <c r="G256" s="2">
        <v>293</v>
      </c>
      <c r="I256"/>
      <c r="J256">
        <f>COUNTIF($A$2:A256,A256)</f>
        <v>1</v>
      </c>
      <c r="K256">
        <f>COUNTIFS($A$2:A256,A256,$D$2:D256,D256)</f>
        <v>1</v>
      </c>
    </row>
    <row r="257" ht="14.25" customHeight="1" spans="1:11">
      <c r="A257" s="2" t="s">
        <v>748</v>
      </c>
      <c r="B257" s="2" t="str">
        <f>TRIM(A257)</f>
        <v>River Valley High School</v>
      </c>
      <c r="C257" s="2" t="str">
        <f t="shared" si="3"/>
        <v>River Valley High School</v>
      </c>
      <c r="D257" s="2" t="s">
        <v>12</v>
      </c>
      <c r="E257" s="2" t="s">
        <v>749</v>
      </c>
      <c r="F257" s="2" t="s">
        <v>117</v>
      </c>
      <c r="G257" s="2" t="s">
        <v>750</v>
      </c>
      <c r="I257"/>
      <c r="J257">
        <f>COUNTIF($A$2:A257,A257)</f>
        <v>1</v>
      </c>
      <c r="K257">
        <f>COUNTIFS($A$2:A257,A257,$D$2:D257,D257)</f>
        <v>1</v>
      </c>
    </row>
    <row r="258" ht="14.25" customHeight="1" spans="1:11">
      <c r="A258" s="2" t="s">
        <v>751</v>
      </c>
      <c r="B258" s="2" t="str">
        <f>TRIM(A258)</f>
        <v>Riverside Primary School</v>
      </c>
      <c r="C258" s="2" t="str">
        <f t="shared" si="3"/>
        <v>Riverside Primary School</v>
      </c>
      <c r="D258" s="2" t="s">
        <v>20</v>
      </c>
      <c r="E258" s="2" t="s">
        <v>752</v>
      </c>
      <c r="F258" s="2" t="s">
        <v>14</v>
      </c>
      <c r="G258" s="2" t="s">
        <v>753</v>
      </c>
      <c r="I258"/>
      <c r="J258">
        <f>COUNTIF($A$2:A258,A258)</f>
        <v>1</v>
      </c>
      <c r="K258">
        <f>COUNTIFS($A$2:A258,A258,$D$2:D258,D258)</f>
        <v>1</v>
      </c>
    </row>
    <row r="259" ht="14.25" customHeight="1" spans="1:11">
      <c r="A259" s="2" t="s">
        <v>754</v>
      </c>
      <c r="B259" s="2" t="str">
        <f>TRIM(A259)</f>
        <v>Riverside Secondary School</v>
      </c>
      <c r="C259" s="2" t="str">
        <f t="shared" ref="C259:C322" si="4">PROPER(B259)</f>
        <v>Riverside Secondary School</v>
      </c>
      <c r="D259" s="2" t="s">
        <v>20</v>
      </c>
      <c r="E259" s="2" t="s">
        <v>755</v>
      </c>
      <c r="F259" s="2" t="s">
        <v>32</v>
      </c>
      <c r="G259" s="2" t="s">
        <v>756</v>
      </c>
      <c r="I259"/>
      <c r="J259">
        <f>COUNTIF($A$2:A259,A259)</f>
        <v>1</v>
      </c>
      <c r="K259">
        <f>COUNTIFS($A$2:A259,A259,$D$2:D259,D259)</f>
        <v>1</v>
      </c>
    </row>
    <row r="260" ht="14.25" customHeight="1" spans="1:11">
      <c r="A260" s="2" t="s">
        <v>757</v>
      </c>
      <c r="B260" s="2" t="str">
        <f>TRIM(A260)</f>
        <v>Rivervale Primary School</v>
      </c>
      <c r="C260" s="2" t="str">
        <f t="shared" si="4"/>
        <v>Rivervale Primary School</v>
      </c>
      <c r="D260" s="2" t="s">
        <v>20</v>
      </c>
      <c r="E260" s="2" t="s">
        <v>758</v>
      </c>
      <c r="F260" s="2" t="s">
        <v>14</v>
      </c>
      <c r="G260" s="2" t="s">
        <v>759</v>
      </c>
      <c r="I260"/>
      <c r="J260">
        <f>COUNTIF($A$2:A260,A260)</f>
        <v>1</v>
      </c>
      <c r="K260">
        <f>COUNTIFS($A$2:A260,A260,$D$2:D260,D260)</f>
        <v>1</v>
      </c>
    </row>
    <row r="261" ht="14.25" customHeight="1" spans="1:11">
      <c r="A261" s="2" t="s">
        <v>760</v>
      </c>
      <c r="B261" s="2" t="str">
        <f>TRIM(A261)</f>
        <v>Rosyth School</v>
      </c>
      <c r="C261" s="2" t="str">
        <f t="shared" si="4"/>
        <v>Rosyth School</v>
      </c>
      <c r="D261" s="2" t="s">
        <v>20</v>
      </c>
      <c r="E261" s="2" t="s">
        <v>761</v>
      </c>
      <c r="F261" s="2" t="s">
        <v>14</v>
      </c>
      <c r="G261" s="2" t="s">
        <v>762</v>
      </c>
      <c r="I261"/>
      <c r="J261">
        <f>COUNTIF($A$2:A261,A261)</f>
        <v>1</v>
      </c>
      <c r="K261">
        <f>COUNTIFS($A$2:A261,A261,$D$2:D261,D261)</f>
        <v>1</v>
      </c>
    </row>
    <row r="262" ht="14.25" customHeight="1" spans="1:11">
      <c r="A262" s="2" t="s">
        <v>763</v>
      </c>
      <c r="B262" s="2" t="str">
        <f>TRIM(A262)</f>
        <v>Rulang Primary School</v>
      </c>
      <c r="C262" s="2" t="str">
        <f t="shared" si="4"/>
        <v>Rulang Primary School</v>
      </c>
      <c r="D262" s="2" t="s">
        <v>12</v>
      </c>
      <c r="E262" s="2" t="s">
        <v>764</v>
      </c>
      <c r="F262" s="2" t="s">
        <v>14</v>
      </c>
      <c r="G262" s="2" t="s">
        <v>765</v>
      </c>
      <c r="I262"/>
      <c r="J262">
        <f>COUNTIF($A$2:A262,A262)</f>
        <v>1</v>
      </c>
      <c r="K262">
        <f>COUNTIFS($A$2:A262,A262,$D$2:D262,D262)</f>
        <v>1</v>
      </c>
    </row>
    <row r="263" ht="14.25" customHeight="1" spans="1:11">
      <c r="A263" s="2" t="s">
        <v>766</v>
      </c>
      <c r="B263" s="2" t="str">
        <f>TRIM(A263)</f>
        <v>School Of Science And Technology, Singapore</v>
      </c>
      <c r="C263" s="2" t="str">
        <f t="shared" si="4"/>
        <v>School Of Science And Technology, Singapore</v>
      </c>
      <c r="D263" s="2" t="s">
        <v>12</v>
      </c>
      <c r="E263" s="2" t="s">
        <v>767</v>
      </c>
      <c r="F263" s="2" t="s">
        <v>32</v>
      </c>
      <c r="G263" s="2" t="s">
        <v>768</v>
      </c>
      <c r="I263"/>
      <c r="J263">
        <f>COUNTIF($A$2:A263,A263)</f>
        <v>1</v>
      </c>
      <c r="K263">
        <f>COUNTIFS($A$2:A263,A263,$D$2:D263,D263)</f>
        <v>1</v>
      </c>
    </row>
    <row r="264" ht="14.25" customHeight="1" spans="1:11">
      <c r="A264" s="2" t="s">
        <v>769</v>
      </c>
      <c r="B264" s="2" t="str">
        <f>TRIM(A264)</f>
        <v>School Of The Arts, Singapore</v>
      </c>
      <c r="C264" s="2" t="str">
        <f t="shared" si="4"/>
        <v>School Of The Arts, Singapore</v>
      </c>
      <c r="D264" s="2" t="s">
        <v>30</v>
      </c>
      <c r="E264" s="2" t="s">
        <v>770</v>
      </c>
      <c r="F264" s="2" t="s">
        <v>117</v>
      </c>
      <c r="G264" s="2" t="s">
        <v>771</v>
      </c>
      <c r="I264"/>
      <c r="J264">
        <f>COUNTIF($A$2:A264,A264)</f>
        <v>1</v>
      </c>
      <c r="K264">
        <f>COUNTIFS($A$2:A264,A264,$D$2:D264,D264)</f>
        <v>1</v>
      </c>
    </row>
    <row r="265" ht="14.25" customHeight="1" spans="1:11">
      <c r="A265" s="2" t="s">
        <v>772</v>
      </c>
      <c r="B265" s="2" t="str">
        <f>TRIM(A265)</f>
        <v>Sembawang Secondary School</v>
      </c>
      <c r="C265" s="2" t="str">
        <f t="shared" si="4"/>
        <v>Sembawang Secondary School</v>
      </c>
      <c r="D265" s="2" t="s">
        <v>20</v>
      </c>
      <c r="E265" s="2" t="s">
        <v>773</v>
      </c>
      <c r="F265" s="2" t="s">
        <v>32</v>
      </c>
      <c r="G265" s="2" t="s">
        <v>774</v>
      </c>
      <c r="I265"/>
      <c r="J265">
        <f>COUNTIF($A$2:A265,A265)</f>
        <v>1</v>
      </c>
      <c r="K265">
        <f>COUNTIFS($A$2:A265,A265,$D$2:D265,D265)</f>
        <v>1</v>
      </c>
    </row>
    <row r="266" ht="14.25" customHeight="1" spans="1:11">
      <c r="A266" s="2" t="s">
        <v>775</v>
      </c>
      <c r="B266" s="2" t="str">
        <f>TRIM(A266)</f>
        <v>Seng Kang Primary School</v>
      </c>
      <c r="C266" s="2" t="str">
        <f t="shared" si="4"/>
        <v>Seng Kang Primary School</v>
      </c>
      <c r="D266" s="2" t="s">
        <v>20</v>
      </c>
      <c r="E266" s="2" t="s">
        <v>776</v>
      </c>
      <c r="F266" s="2" t="s">
        <v>14</v>
      </c>
      <c r="G266" s="2" t="s">
        <v>133</v>
      </c>
      <c r="H266" s="4" t="s">
        <v>457</v>
      </c>
      <c r="I266" s="1">
        <f>DATEVALUE(H266)</f>
        <v>44448</v>
      </c>
      <c r="J266">
        <f>COUNTIF($A$2:A266,A266)</f>
        <v>1</v>
      </c>
      <c r="K266">
        <f>COUNTIFS($A$2:A266,A266,$D$2:D266,D266)</f>
        <v>1</v>
      </c>
    </row>
    <row r="267" ht="14.25" customHeight="1" spans="1:11">
      <c r="A267" s="2" t="s">
        <v>777</v>
      </c>
      <c r="B267" s="2" t="str">
        <f>TRIM(A267)</f>
        <v>Seng Kang Secondary School</v>
      </c>
      <c r="C267" s="2" t="str">
        <f t="shared" si="4"/>
        <v>Seng Kang Secondary School</v>
      </c>
      <c r="D267" s="2" t="s">
        <v>20</v>
      </c>
      <c r="E267" s="2" t="s">
        <v>778</v>
      </c>
      <c r="F267" s="2" t="s">
        <v>32</v>
      </c>
      <c r="G267" s="2" t="s">
        <v>779</v>
      </c>
      <c r="I267"/>
      <c r="J267">
        <f>COUNTIF($A$2:A267,A267)</f>
        <v>1</v>
      </c>
      <c r="K267">
        <f>COUNTIFS($A$2:A267,A267,$D$2:D267,D267)</f>
        <v>1</v>
      </c>
    </row>
    <row r="268" ht="14.25" customHeight="1" spans="1:11">
      <c r="A268" s="2" t="s">
        <v>780</v>
      </c>
      <c r="B268" s="2" t="str">
        <f>TRIM(A268)</f>
        <v>Sengkang Green Primary SCHOOL</v>
      </c>
      <c r="C268" s="2" t="str">
        <f t="shared" si="4"/>
        <v>Sengkang Green Primary School</v>
      </c>
      <c r="D268" s="2" t="s">
        <v>17</v>
      </c>
      <c r="E268" s="2" t="s">
        <v>781</v>
      </c>
      <c r="F268" s="2" t="s">
        <v>14</v>
      </c>
      <c r="G268" s="2" t="s">
        <v>782</v>
      </c>
      <c r="I268"/>
      <c r="J268">
        <f>COUNTIF($A$2:A268,A268)</f>
        <v>1</v>
      </c>
      <c r="K268">
        <f>COUNTIFS($A$2:A268,A268,$D$2:D268,D268)</f>
        <v>1</v>
      </c>
    </row>
    <row r="269" ht="14.25" customHeight="1" spans="1:11">
      <c r="A269" s="2" t="s">
        <v>783</v>
      </c>
      <c r="B269" s="2" t="str">
        <f>TRIM(A269)</f>
        <v>Serangoon Garden Secondary School</v>
      </c>
      <c r="C269" s="2" t="str">
        <f t="shared" si="4"/>
        <v>Serangoon Garden Secondary School</v>
      </c>
      <c r="D269" s="2" t="s">
        <v>30</v>
      </c>
      <c r="E269" s="2" t="s">
        <v>784</v>
      </c>
      <c r="F269" s="2" t="s">
        <v>32</v>
      </c>
      <c r="G269" s="2" t="s">
        <v>785</v>
      </c>
      <c r="I269"/>
      <c r="J269">
        <f>COUNTIF($A$2:A269,A269)</f>
        <v>1</v>
      </c>
      <c r="K269">
        <f>COUNTIFS($A$2:A269,A269,$D$2:D269,D269)</f>
        <v>1</v>
      </c>
    </row>
    <row r="270" ht="14.25" customHeight="1" spans="1:11">
      <c r="A270" s="2" t="s">
        <v>786</v>
      </c>
      <c r="B270" s="2" t="str">
        <f>TRIM(A270)</f>
        <v>Serangoon Junior College</v>
      </c>
      <c r="C270" s="2" t="str">
        <f t="shared" si="4"/>
        <v>Serangoon Junior College</v>
      </c>
      <c r="D270" s="2" t="s">
        <v>20</v>
      </c>
      <c r="E270" s="2" t="s">
        <v>787</v>
      </c>
      <c r="F270" s="2" t="s">
        <v>57</v>
      </c>
      <c r="G270" s="2" t="s">
        <v>788</v>
      </c>
      <c r="I270"/>
      <c r="J270">
        <f>COUNTIF($A$2:A270,A270)</f>
        <v>1</v>
      </c>
      <c r="K270">
        <f>COUNTIFS($A$2:A270,A270,$D$2:D270,D270)</f>
        <v>1</v>
      </c>
    </row>
    <row r="271" ht="14.25" customHeight="1" spans="1:11">
      <c r="A271" s="2" t="s">
        <v>789</v>
      </c>
      <c r="B271" s="2" t="str">
        <f>TRIM(A271)</f>
        <v>Serangoon Secondary School</v>
      </c>
      <c r="C271" s="2" t="str">
        <f t="shared" si="4"/>
        <v>Serangoon Secondary School</v>
      </c>
      <c r="D271" s="2" t="s">
        <v>20</v>
      </c>
      <c r="E271" s="2" t="s">
        <v>790</v>
      </c>
      <c r="F271" s="2" t="s">
        <v>32</v>
      </c>
      <c r="G271" s="2" t="s">
        <v>791</v>
      </c>
      <c r="I271"/>
      <c r="J271">
        <f>COUNTIF($A$2:A271,A271)</f>
        <v>1</v>
      </c>
      <c r="K271">
        <f>COUNTIFS($A$2:A271,A271,$D$2:D271,D271)</f>
        <v>1</v>
      </c>
    </row>
    <row r="272" ht="14.25" customHeight="1" spans="1:11">
      <c r="A272" s="2" t="s">
        <v>792</v>
      </c>
      <c r="B272" s="2" t="str">
        <f>TRIM(A272)</f>
        <v>Shuqun Primary School</v>
      </c>
      <c r="C272" s="2" t="str">
        <f t="shared" si="4"/>
        <v>Shuqun Primary School</v>
      </c>
      <c r="D272" s="2" t="s">
        <v>12</v>
      </c>
      <c r="E272" s="2" t="s">
        <v>793</v>
      </c>
      <c r="F272" s="2" t="s">
        <v>14</v>
      </c>
      <c r="G272" s="2" t="s">
        <v>794</v>
      </c>
      <c r="I272"/>
      <c r="J272">
        <f>COUNTIF($A$2:A272,A272)</f>
        <v>1</v>
      </c>
      <c r="K272">
        <f>COUNTIFS($A$2:A272,A272,$D$2:D272,D272)</f>
        <v>1</v>
      </c>
    </row>
    <row r="273" ht="14.25" customHeight="1" spans="1:11">
      <c r="A273" s="2" t="s">
        <v>795</v>
      </c>
      <c r="B273" s="2" t="str">
        <f>TRIM(A273)</f>
        <v>Shuqun Secondary School</v>
      </c>
      <c r="C273" s="2" t="str">
        <f t="shared" si="4"/>
        <v>Shuqun Secondary School</v>
      </c>
      <c r="D273" s="2" t="s">
        <v>12</v>
      </c>
      <c r="E273" s="2" t="s">
        <v>796</v>
      </c>
      <c r="F273" s="2" t="s">
        <v>32</v>
      </c>
      <c r="G273" s="2" t="s">
        <v>797</v>
      </c>
      <c r="I273"/>
      <c r="J273">
        <f>COUNTIF($A$2:A273,A273)</f>
        <v>1</v>
      </c>
      <c r="K273">
        <f>COUNTIFS($A$2:A273,A273,$D$2:D273,D273)</f>
        <v>1</v>
      </c>
    </row>
    <row r="274" ht="14.25" customHeight="1" spans="1:11">
      <c r="A274" s="2" t="s">
        <v>798</v>
      </c>
      <c r="B274" s="2" t="str">
        <f>TRIM(A274)</f>
        <v>SI LING PRIMARY SCHOOL</v>
      </c>
      <c r="C274" s="2" t="str">
        <f t="shared" si="4"/>
        <v>Si Ling Primary School</v>
      </c>
      <c r="D274" s="2" t="s">
        <v>20</v>
      </c>
      <c r="E274" s="2" t="s">
        <v>799</v>
      </c>
      <c r="F274" s="2" t="s">
        <v>14</v>
      </c>
      <c r="G274" s="2" t="s">
        <v>800</v>
      </c>
      <c r="I274"/>
      <c r="J274">
        <f>COUNTIF($A$2:A274,A274)</f>
        <v>1</v>
      </c>
      <c r="K274">
        <f>COUNTIFS($A$2:A274,A274,$D$2:D274,D274)</f>
        <v>1</v>
      </c>
    </row>
    <row r="275" ht="14.25" customHeight="1" spans="1:11">
      <c r="A275" s="2" t="s">
        <v>801</v>
      </c>
      <c r="B275" s="2" t="str">
        <f>TRIM(A275)</f>
        <v>Singapore Chinese Girls' Primary School</v>
      </c>
      <c r="C275" s="2" t="str">
        <f t="shared" si="4"/>
        <v>Singapore Chinese Girls' Primary School</v>
      </c>
      <c r="D275" s="2" t="s">
        <v>20</v>
      </c>
      <c r="E275" s="2" t="s">
        <v>802</v>
      </c>
      <c r="F275" s="2" t="s">
        <v>14</v>
      </c>
      <c r="G275" s="2" t="s">
        <v>803</v>
      </c>
      <c r="I275"/>
      <c r="J275">
        <f>COUNTIF($A$2:A275,A275)</f>
        <v>1</v>
      </c>
      <c r="K275">
        <f>COUNTIFS($A$2:A275,A275,$D$2:D275,D275)</f>
        <v>1</v>
      </c>
    </row>
    <row r="276" ht="14.25" customHeight="1" spans="1:11">
      <c r="A276" s="2" t="s">
        <v>804</v>
      </c>
      <c r="B276" s="2" t="str">
        <f>TRIM(A276)</f>
        <v>Singapore Chinese Girls' School</v>
      </c>
      <c r="C276" s="2" t="str">
        <f t="shared" si="4"/>
        <v>Singapore Chinese Girls' School</v>
      </c>
      <c r="D276" s="2" t="s">
        <v>20</v>
      </c>
      <c r="E276" s="2" t="s">
        <v>805</v>
      </c>
      <c r="F276" s="2" t="s">
        <v>32</v>
      </c>
      <c r="I276"/>
      <c r="J276">
        <f>COUNTIF($A$2:A276,A276)</f>
        <v>1</v>
      </c>
      <c r="K276">
        <f>COUNTIFS($A$2:A276,A276,$D$2:D276,D276)</f>
        <v>1</v>
      </c>
    </row>
    <row r="277" ht="14.25" customHeight="1" spans="1:11">
      <c r="A277" s="2" t="s">
        <v>806</v>
      </c>
      <c r="B277" s="2" t="str">
        <f>TRIM(A277)</f>
        <v>Singapore Sports School</v>
      </c>
      <c r="C277" s="2" t="str">
        <f t="shared" si="4"/>
        <v>Singapore Sports School</v>
      </c>
      <c r="D277" s="2" t="s">
        <v>20</v>
      </c>
      <c r="E277" s="2" t="s">
        <v>807</v>
      </c>
      <c r="F277" s="2" t="s">
        <v>117</v>
      </c>
      <c r="G277" s="2" t="s">
        <v>808</v>
      </c>
      <c r="I277"/>
      <c r="J277">
        <f>COUNTIF($A$2:A277,A277)</f>
        <v>1</v>
      </c>
      <c r="K277">
        <f>COUNTIFS($A$2:A277,A277,$D$2:D277,D277)</f>
        <v>1</v>
      </c>
    </row>
    <row r="278" ht="14.25" customHeight="1" spans="1:11">
      <c r="A278" s="2" t="s">
        <v>809</v>
      </c>
      <c r="B278" s="2" t="str">
        <f>TRIM(A278)</f>
        <v>SOUTH VIEW PRIMARY SCHOOL</v>
      </c>
      <c r="C278" s="2" t="str">
        <f t="shared" si="4"/>
        <v>South View Primary School</v>
      </c>
      <c r="D278" s="2" t="s">
        <v>12</v>
      </c>
      <c r="E278" s="2" t="s">
        <v>810</v>
      </c>
      <c r="F278" s="2" t="s">
        <v>14</v>
      </c>
      <c r="G278" s="2">
        <v>859</v>
      </c>
      <c r="I278"/>
      <c r="J278">
        <f>COUNTIF($A$2:A278,A278)</f>
        <v>1</v>
      </c>
      <c r="K278">
        <f>COUNTIFS($A$2:A278,A278,$D$2:D278,D278)</f>
        <v>1</v>
      </c>
    </row>
    <row r="279" ht="14.25" customHeight="1" spans="1:11">
      <c r="A279" s="2" t="s">
        <v>811</v>
      </c>
      <c r="B279" s="2" t="str">
        <f>TRIM(A279)</f>
        <v>Spectra Secondary School</v>
      </c>
      <c r="C279" s="2" t="str">
        <f t="shared" si="4"/>
        <v>Spectra Secondary School</v>
      </c>
      <c r="D279" s="2" t="s">
        <v>20</v>
      </c>
      <c r="E279" s="2" t="s">
        <v>812</v>
      </c>
      <c r="F279" s="2" t="s">
        <v>32</v>
      </c>
      <c r="G279" s="2" t="s">
        <v>813</v>
      </c>
      <c r="I279"/>
      <c r="J279">
        <f>COUNTIF($A$2:A279,A279)</f>
        <v>1</v>
      </c>
      <c r="K279">
        <f>COUNTIFS($A$2:A279,A279,$D$2:D279,D279)</f>
        <v>1</v>
      </c>
    </row>
    <row r="280" ht="14.25" customHeight="1" spans="1:11">
      <c r="A280" s="2" t="s">
        <v>814</v>
      </c>
      <c r="B280" s="2" t="str">
        <f>TRIM(A280)</f>
        <v>Springdale Primary School</v>
      </c>
      <c r="C280" s="2" t="str">
        <f t="shared" si="4"/>
        <v>Springdale Primary School</v>
      </c>
      <c r="D280" s="2" t="s">
        <v>17</v>
      </c>
      <c r="E280" s="2" t="s">
        <v>815</v>
      </c>
      <c r="F280" s="2" t="s">
        <v>14</v>
      </c>
      <c r="G280" s="2" t="s">
        <v>816</v>
      </c>
      <c r="I280"/>
      <c r="J280">
        <f>COUNTIF($A$2:A280,A280)</f>
        <v>1</v>
      </c>
      <c r="K280">
        <f>COUNTIFS($A$2:A280,A280,$D$2:D280,D280)</f>
        <v>1</v>
      </c>
    </row>
    <row r="281" ht="14.25" customHeight="1" spans="1:11">
      <c r="A281" s="2" t="s">
        <v>817</v>
      </c>
      <c r="B281" s="2" t="str">
        <f>TRIM(A281)</f>
        <v>Springfield Secondary School</v>
      </c>
      <c r="C281" s="2" t="str">
        <f t="shared" si="4"/>
        <v>Springfield Secondary School</v>
      </c>
      <c r="D281" s="2" t="s">
        <v>17</v>
      </c>
      <c r="E281" s="2" t="s">
        <v>818</v>
      </c>
      <c r="F281" s="2" t="s">
        <v>32</v>
      </c>
      <c r="G281" s="2" t="s">
        <v>819</v>
      </c>
      <c r="I281"/>
      <c r="J281">
        <f>COUNTIF($A$2:A281,A281)</f>
        <v>1</v>
      </c>
      <c r="K281">
        <f>COUNTIFS($A$2:A281,A281,$D$2:D281,D281)</f>
        <v>1</v>
      </c>
    </row>
    <row r="282" ht="14.25" customHeight="1" spans="1:11">
      <c r="A282" s="2" t="s">
        <v>820</v>
      </c>
      <c r="B282" s="2" t="str">
        <f>TRIM(A282)</f>
        <v>St. Andrew'S Junior College</v>
      </c>
      <c r="C282" s="2" t="str">
        <f t="shared" si="4"/>
        <v>St. Andrew'S Junior College</v>
      </c>
      <c r="D282" s="2" t="s">
        <v>30</v>
      </c>
      <c r="E282" s="2" t="s">
        <v>821</v>
      </c>
      <c r="F282" s="2" t="s">
        <v>57</v>
      </c>
      <c r="G282" s="2" t="s">
        <v>822</v>
      </c>
      <c r="I282"/>
      <c r="J282">
        <f>COUNTIF($A$2:A282,A282)</f>
        <v>1</v>
      </c>
      <c r="K282">
        <f>COUNTIFS($A$2:A282,A282,$D$2:D282,D282)</f>
        <v>1</v>
      </c>
    </row>
    <row r="283" ht="14.25" customHeight="1" spans="1:11">
      <c r="A283" s="2" t="s">
        <v>823</v>
      </c>
      <c r="B283" s="2" t="str">
        <f>TRIM(A283)</f>
        <v>St. Andrew'S Junior School</v>
      </c>
      <c r="C283" s="2" t="str">
        <f t="shared" si="4"/>
        <v>St. Andrew'S Junior School</v>
      </c>
      <c r="D283" s="2" t="s">
        <v>30</v>
      </c>
      <c r="E283" s="2" t="s">
        <v>824</v>
      </c>
      <c r="F283" s="2" t="s">
        <v>14</v>
      </c>
      <c r="G283" s="2" t="s">
        <v>825</v>
      </c>
      <c r="I283"/>
      <c r="J283">
        <f>COUNTIF($A$2:A283,A283)</f>
        <v>1</v>
      </c>
      <c r="K283">
        <f>COUNTIFS($A$2:A283,A283,$D$2:D283,D283)</f>
        <v>1</v>
      </c>
    </row>
    <row r="284" ht="14.25" customHeight="1" spans="1:11">
      <c r="A284" s="2" t="s">
        <v>826</v>
      </c>
      <c r="B284" s="2" t="str">
        <f>TRIM(A284)</f>
        <v>St. Andrew'S Secondary School</v>
      </c>
      <c r="C284" s="2" t="str">
        <f t="shared" si="4"/>
        <v>St. Andrew'S Secondary School</v>
      </c>
      <c r="D284" s="2" t="s">
        <v>30</v>
      </c>
      <c r="E284" s="2" t="s">
        <v>827</v>
      </c>
      <c r="F284" s="2" t="s">
        <v>32</v>
      </c>
      <c r="G284" s="2" t="s">
        <v>828</v>
      </c>
      <c r="I284"/>
      <c r="J284">
        <f>COUNTIF($A$2:A284,A284)</f>
        <v>1</v>
      </c>
      <c r="K284">
        <f>COUNTIFS($A$2:A284,A284,$D$2:D284,D284)</f>
        <v>1</v>
      </c>
    </row>
    <row r="285" ht="14.25" customHeight="1" spans="1:11">
      <c r="A285" s="2" t="s">
        <v>829</v>
      </c>
      <c r="B285" s="2" t="str">
        <f>TRIM(A285)</f>
        <v>St. Anthony'S Canossian Primary School</v>
      </c>
      <c r="C285" s="2" t="str">
        <f t="shared" si="4"/>
        <v>St. Anthony'S Canossian Primary School</v>
      </c>
      <c r="D285" s="2" t="s">
        <v>17</v>
      </c>
      <c r="E285" s="2" t="s">
        <v>830</v>
      </c>
      <c r="F285" s="2" t="s">
        <v>14</v>
      </c>
      <c r="G285" s="2" t="s">
        <v>831</v>
      </c>
      <c r="I285"/>
      <c r="J285">
        <f>COUNTIF($A$2:A285,A285)</f>
        <v>1</v>
      </c>
      <c r="K285">
        <f>COUNTIFS($A$2:A285,A285,$D$2:D285,D285)</f>
        <v>1</v>
      </c>
    </row>
    <row r="286" ht="14.25" customHeight="1" spans="1:11">
      <c r="A286" s="2" t="s">
        <v>832</v>
      </c>
      <c r="B286" s="2" t="str">
        <f>TRIM(A286)</f>
        <v>St. Anthony'S Canossian Secondary School</v>
      </c>
      <c r="C286" s="2" t="str">
        <f t="shared" si="4"/>
        <v>St. Anthony'S Canossian Secondary School</v>
      </c>
      <c r="D286" s="2" t="s">
        <v>17</v>
      </c>
      <c r="E286" s="2" t="s">
        <v>833</v>
      </c>
      <c r="F286" s="2" t="s">
        <v>32</v>
      </c>
      <c r="G286" s="2" t="s">
        <v>834</v>
      </c>
      <c r="I286"/>
      <c r="J286">
        <f>COUNTIF($A$2:A286,A286)</f>
        <v>1</v>
      </c>
      <c r="K286">
        <f>COUNTIFS($A$2:A286,A286,$D$2:D286,D286)</f>
        <v>1</v>
      </c>
    </row>
    <row r="287" ht="14.25" customHeight="1" outlineLevel="1" spans="1:11">
      <c r="A287" s="2" t="s">
        <v>835</v>
      </c>
      <c r="B287" s="2" t="str">
        <f>TRIM(A287)</f>
        <v>Nanyang Girls' High School</v>
      </c>
      <c r="C287" s="2" t="str">
        <f t="shared" si="4"/>
        <v>Nanyang Girls' High School</v>
      </c>
      <c r="D287" s="2" t="s">
        <v>12</v>
      </c>
      <c r="E287" s="2" t="s">
        <v>836</v>
      </c>
      <c r="F287" s="2" t="s">
        <v>75</v>
      </c>
      <c r="G287" s="2" t="s">
        <v>456</v>
      </c>
      <c r="H287" s="3" t="s">
        <v>457</v>
      </c>
      <c r="I287" s="1">
        <f>DATEVALUE(H287)</f>
        <v>44448</v>
      </c>
      <c r="J287">
        <f>COUNTIF($A$2:A287,A287)</f>
        <v>1</v>
      </c>
      <c r="K287">
        <f>COUNTIFS($A$2:A287,A287,$D$2:D287,D287)</f>
        <v>1</v>
      </c>
    </row>
    <row r="288" ht="14.25" customHeight="1" spans="1:11">
      <c r="A288" s="2" t="s">
        <v>837</v>
      </c>
      <c r="B288" s="2" t="str">
        <f>TRIM(A288)</f>
        <v>St. Anthony'S Primary School</v>
      </c>
      <c r="C288" s="2" t="str">
        <f t="shared" si="4"/>
        <v>St. Anthony'S Primary School</v>
      </c>
      <c r="D288" s="2" t="s">
        <v>12</v>
      </c>
      <c r="E288" s="2" t="s">
        <v>838</v>
      </c>
      <c r="F288" s="2" t="s">
        <v>14</v>
      </c>
      <c r="G288" s="2">
        <v>945</v>
      </c>
      <c r="H288" s="4" t="s">
        <v>839</v>
      </c>
      <c r="I288" s="1">
        <f>DATEVALUE(H288)</f>
        <v>44416</v>
      </c>
      <c r="J288">
        <f>COUNTIF($A$2:A288,A288)</f>
        <v>1</v>
      </c>
      <c r="K288">
        <f>COUNTIFS($A$2:A288,A288,$D$2:D288,D288)</f>
        <v>1</v>
      </c>
    </row>
    <row r="289" ht="14.25" customHeight="1" spans="1:11">
      <c r="A289" s="2" t="s">
        <v>840</v>
      </c>
      <c r="B289" s="2" t="str">
        <f>TRIM(A289)</f>
        <v>St. Gabriel'S Primary School</v>
      </c>
      <c r="C289" s="2" t="str">
        <f t="shared" si="4"/>
        <v>St. Gabriel'S Primary School</v>
      </c>
      <c r="D289" s="2" t="s">
        <v>30</v>
      </c>
      <c r="E289" s="2" t="s">
        <v>841</v>
      </c>
      <c r="F289" s="2" t="s">
        <v>14</v>
      </c>
      <c r="G289" s="2">
        <v>257</v>
      </c>
      <c r="I289"/>
      <c r="J289">
        <f>COUNTIF($A$2:A289,A289)</f>
        <v>1</v>
      </c>
      <c r="K289">
        <f>COUNTIFS($A$2:A289,A289,$D$2:D289,D289)</f>
        <v>1</v>
      </c>
    </row>
    <row r="290" ht="14.25" customHeight="1" spans="1:11">
      <c r="A290" s="2" t="s">
        <v>842</v>
      </c>
      <c r="B290" s="2" t="str">
        <f>TRIM(A290)</f>
        <v>St. Gabriel'S Secondary School</v>
      </c>
      <c r="C290" s="2" t="str">
        <f t="shared" si="4"/>
        <v>St. Gabriel'S Secondary School</v>
      </c>
      <c r="D290" s="2" t="s">
        <v>30</v>
      </c>
      <c r="E290" s="2" t="s">
        <v>843</v>
      </c>
      <c r="F290" s="2" t="s">
        <v>32</v>
      </c>
      <c r="G290" s="2" t="s">
        <v>844</v>
      </c>
      <c r="I290"/>
      <c r="J290">
        <f>COUNTIF($A$2:A290,A290)</f>
        <v>1</v>
      </c>
      <c r="K290">
        <f>COUNTIFS($A$2:A290,A290,$D$2:D290,D290)</f>
        <v>1</v>
      </c>
    </row>
    <row r="291" ht="14.25" customHeight="1" spans="1:11">
      <c r="A291" s="2" t="s">
        <v>845</v>
      </c>
      <c r="B291" s="2" t="str">
        <f>TRIM(A291)</f>
        <v>St. Hilda'S Primary School</v>
      </c>
      <c r="C291" s="2" t="str">
        <f t="shared" si="4"/>
        <v>St. Hilda'S Primary School</v>
      </c>
      <c r="D291" s="2" t="s">
        <v>17</v>
      </c>
      <c r="E291" s="2" t="s">
        <v>846</v>
      </c>
      <c r="F291" s="2" t="s">
        <v>14</v>
      </c>
      <c r="G291" s="2" t="s">
        <v>847</v>
      </c>
      <c r="I291"/>
      <c r="J291">
        <f>COUNTIF($A$2:A291,A291)</f>
        <v>1</v>
      </c>
      <c r="K291">
        <f>COUNTIFS($A$2:A291,A291,$D$2:D291,D291)</f>
        <v>1</v>
      </c>
    </row>
    <row r="292" ht="14.25" customHeight="1" spans="1:11">
      <c r="A292" s="2" t="s">
        <v>848</v>
      </c>
      <c r="B292" s="2" t="str">
        <f>TRIM(A292)</f>
        <v>St. Hilda'S Secondary School</v>
      </c>
      <c r="C292" s="2" t="str">
        <f t="shared" si="4"/>
        <v>St. Hilda'S Secondary School</v>
      </c>
      <c r="D292" s="2" t="s">
        <v>17</v>
      </c>
      <c r="E292" s="2" t="s">
        <v>849</v>
      </c>
      <c r="F292" s="2" t="s">
        <v>32</v>
      </c>
      <c r="G292" s="2" t="s">
        <v>850</v>
      </c>
      <c r="I292"/>
      <c r="J292">
        <f>COUNTIF($A$2:A292,A292)</f>
        <v>1</v>
      </c>
      <c r="K292">
        <f>COUNTIFS($A$2:A292,A292,$D$2:D292,D292)</f>
        <v>1</v>
      </c>
    </row>
    <row r="293" ht="14.25" customHeight="1" spans="1:11">
      <c r="A293" s="2" t="s">
        <v>851</v>
      </c>
      <c r="B293" s="2" t="str">
        <f>TRIM(A293)</f>
        <v>St. Joseph'S Institution</v>
      </c>
      <c r="C293" s="2" t="str">
        <f t="shared" si="4"/>
        <v>St. Joseph'S Institution</v>
      </c>
      <c r="D293" s="2" t="s">
        <v>30</v>
      </c>
      <c r="E293" s="2" t="s">
        <v>852</v>
      </c>
      <c r="F293" s="2" t="s">
        <v>117</v>
      </c>
      <c r="G293" s="2" t="s">
        <v>853</v>
      </c>
      <c r="I293"/>
      <c r="J293">
        <f>COUNTIF($A$2:A293,A293)</f>
        <v>1</v>
      </c>
      <c r="K293">
        <f>COUNTIFS($A$2:A293,A293,$D$2:D293,D293)</f>
        <v>1</v>
      </c>
    </row>
    <row r="294" ht="14.25" customHeight="1" spans="1:11">
      <c r="A294" s="2" t="s">
        <v>854</v>
      </c>
      <c r="B294" s="2" t="str">
        <f>TRIM(A294)</f>
        <v>St. Joseph'S Institution Junior</v>
      </c>
      <c r="C294" s="2" t="str">
        <f t="shared" si="4"/>
        <v>St. Joseph'S Institution Junior</v>
      </c>
      <c r="D294" s="2" t="s">
        <v>30</v>
      </c>
      <c r="E294" s="2" t="s">
        <v>855</v>
      </c>
      <c r="F294" s="2" t="s">
        <v>14</v>
      </c>
      <c r="G294" s="2" t="s">
        <v>856</v>
      </c>
      <c r="I294"/>
      <c r="J294">
        <f>COUNTIF($A$2:A294,A294)</f>
        <v>1</v>
      </c>
      <c r="K294">
        <f>COUNTIFS($A$2:A294,A294,$D$2:D294,D294)</f>
        <v>1</v>
      </c>
    </row>
    <row r="295" ht="14.25" customHeight="1" spans="1:11">
      <c r="A295" s="2" t="s">
        <v>857</v>
      </c>
      <c r="B295" s="2" t="str">
        <f>TRIM(A295)</f>
        <v>St. Margaret'S Primary School</v>
      </c>
      <c r="C295" s="2" t="str">
        <f t="shared" si="4"/>
        <v>St. Margaret'S Primary School</v>
      </c>
      <c r="D295" s="2" t="s">
        <v>30</v>
      </c>
      <c r="E295" s="2" t="s">
        <v>858</v>
      </c>
      <c r="F295" s="2" t="s">
        <v>14</v>
      </c>
      <c r="G295" s="2" t="s">
        <v>859</v>
      </c>
      <c r="I295"/>
      <c r="J295">
        <f>COUNTIF($A$2:A295,A295)</f>
        <v>1</v>
      </c>
      <c r="K295">
        <f>COUNTIFS($A$2:A295,A295,$D$2:D295,D295)</f>
        <v>1</v>
      </c>
    </row>
    <row r="296" ht="14.25" customHeight="1" spans="1:11">
      <c r="A296" s="2" t="s">
        <v>860</v>
      </c>
      <c r="B296" s="2" t="str">
        <f>TRIM(A296)</f>
        <v>St. Margaret'S Secondary School</v>
      </c>
      <c r="C296" s="2" t="str">
        <f t="shared" si="4"/>
        <v>St. Margaret'S Secondary School</v>
      </c>
      <c r="D296" s="2" t="s">
        <v>30</v>
      </c>
      <c r="E296" s="2" t="s">
        <v>861</v>
      </c>
      <c r="F296" s="2" t="s">
        <v>32</v>
      </c>
      <c r="G296" s="2" t="s">
        <v>193</v>
      </c>
      <c r="I296"/>
      <c r="J296">
        <f>COUNTIF($A$2:A296,A296)</f>
        <v>1</v>
      </c>
      <c r="K296">
        <f>COUNTIFS($A$2:A296,A296,$D$2:D296,D296)</f>
        <v>1</v>
      </c>
    </row>
    <row r="297" ht="14.25" customHeight="1" spans="1:11">
      <c r="A297" s="2" t="s">
        <v>862</v>
      </c>
      <c r="B297" s="2" t="str">
        <f>TRIM(A297)</f>
        <v>St. Patrick'S School</v>
      </c>
      <c r="C297" s="2" t="str">
        <f t="shared" si="4"/>
        <v>St. Patrick'S School</v>
      </c>
      <c r="D297" s="2" t="s">
        <v>17</v>
      </c>
      <c r="E297" s="2" t="s">
        <v>863</v>
      </c>
      <c r="F297" s="2" t="s">
        <v>32</v>
      </c>
      <c r="G297" s="2" t="s">
        <v>864</v>
      </c>
      <c r="I297"/>
      <c r="J297">
        <f>COUNTIF($A$2:A297,A297)</f>
        <v>1</v>
      </c>
      <c r="K297">
        <f>COUNTIFS($A$2:A297,A297,$D$2:D297,D297)</f>
        <v>1</v>
      </c>
    </row>
    <row r="298" ht="14.25" customHeight="1" spans="1:11">
      <c r="A298" s="2" t="s">
        <v>865</v>
      </c>
      <c r="B298" s="2" t="str">
        <f>TRIM(A298)</f>
        <v>St. Stephen'S School</v>
      </c>
      <c r="C298" s="2" t="str">
        <f t="shared" si="4"/>
        <v>St. Stephen'S School</v>
      </c>
      <c r="D298" s="2" t="s">
        <v>17</v>
      </c>
      <c r="E298" s="2" t="s">
        <v>866</v>
      </c>
      <c r="F298" s="2" t="s">
        <v>14</v>
      </c>
      <c r="G298" s="2" t="s">
        <v>867</v>
      </c>
      <c r="I298"/>
      <c r="J298">
        <f>COUNTIF($A$2:A298,A298)</f>
        <v>1</v>
      </c>
      <c r="K298">
        <f>COUNTIFS($A$2:A298,A298,$D$2:D298,D298)</f>
        <v>1</v>
      </c>
    </row>
    <row r="299" ht="14.25" customHeight="1" spans="1:11">
      <c r="A299" s="2" t="s">
        <v>868</v>
      </c>
      <c r="B299" s="2" t="str">
        <f>TRIM(A299)</f>
        <v>STAMFORD PRIMARY SCHOOL</v>
      </c>
      <c r="C299" s="2" t="str">
        <f t="shared" si="4"/>
        <v>Stamford Primary School</v>
      </c>
      <c r="D299" s="2" t="s">
        <v>20</v>
      </c>
      <c r="E299" s="2" t="s">
        <v>869</v>
      </c>
      <c r="F299" s="2" t="s">
        <v>14</v>
      </c>
      <c r="G299" s="2" t="s">
        <v>870</v>
      </c>
      <c r="I299"/>
      <c r="J299">
        <f>COUNTIF($A$2:A299,A299)</f>
        <v>1</v>
      </c>
      <c r="K299">
        <f>COUNTIFS($A$2:A299,A299,$D$2:D299,D299)</f>
        <v>1</v>
      </c>
    </row>
    <row r="300" ht="14.25" customHeight="1" spans="1:11">
      <c r="A300" s="2" t="s">
        <v>871</v>
      </c>
      <c r="B300" s="2" t="str">
        <f>TRIM(A300)</f>
        <v>Stamford Primary School</v>
      </c>
      <c r="C300" s="2" t="str">
        <f t="shared" si="4"/>
        <v>Stamford Primary School</v>
      </c>
      <c r="D300" s="2" t="s">
        <v>30</v>
      </c>
      <c r="E300" s="2" t="s">
        <v>872</v>
      </c>
      <c r="F300" s="2" t="s">
        <v>14</v>
      </c>
      <c r="G300" s="2" t="s">
        <v>873</v>
      </c>
      <c r="I300"/>
      <c r="J300">
        <f>COUNTIF($A$2:A300,A300)</f>
        <v>2</v>
      </c>
      <c r="K300">
        <f>COUNTIFS($A$2:A300,A300,$D$2:D300,D300)</f>
        <v>1</v>
      </c>
    </row>
    <row r="301" ht="14.25" customHeight="1" spans="1:11">
      <c r="A301" s="2" t="s">
        <v>874</v>
      </c>
      <c r="B301" s="2" t="str">
        <f>TRIM(A301)</f>
        <v>Swiss Cottage Secondary School</v>
      </c>
      <c r="C301" s="2" t="str">
        <f t="shared" si="4"/>
        <v>Swiss Cottage Secondary School</v>
      </c>
      <c r="D301" s="2" t="s">
        <v>12</v>
      </c>
      <c r="E301" s="2" t="s">
        <v>875</v>
      </c>
      <c r="F301" s="2" t="s">
        <v>32</v>
      </c>
      <c r="G301" s="2" t="s">
        <v>876</v>
      </c>
      <c r="I301"/>
      <c r="J301">
        <f>COUNTIF($A$2:A301,A301)</f>
        <v>1</v>
      </c>
      <c r="K301">
        <f>COUNTIFS($A$2:A301,A301,$D$2:D301,D301)</f>
        <v>1</v>
      </c>
    </row>
    <row r="302" ht="14.25" customHeight="1" spans="1:11">
      <c r="A302" s="2" t="s">
        <v>877</v>
      </c>
      <c r="B302" s="2" t="str">
        <f>TRIM(A302)</f>
        <v>Tampines North Primary School</v>
      </c>
      <c r="C302" s="2" t="str">
        <f t="shared" si="4"/>
        <v>Tampines North Primary School</v>
      </c>
      <c r="D302" s="2" t="s">
        <v>17</v>
      </c>
      <c r="E302" s="2" t="s">
        <v>878</v>
      </c>
      <c r="F302" s="2" t="s">
        <v>14</v>
      </c>
      <c r="G302" s="2" t="s">
        <v>879</v>
      </c>
      <c r="I302"/>
      <c r="J302">
        <f>COUNTIF($A$2:A302,A302)</f>
        <v>1</v>
      </c>
      <c r="K302">
        <f>COUNTIFS($A$2:A302,A302,$D$2:D302,D302)</f>
        <v>1</v>
      </c>
    </row>
    <row r="303" ht="14.25" customHeight="1" spans="1:11">
      <c r="A303" s="2" t="s">
        <v>880</v>
      </c>
      <c r="B303" s="2" t="str">
        <f>TRIM(A303)</f>
        <v>Tampines Primary School</v>
      </c>
      <c r="C303" s="2" t="str">
        <f t="shared" si="4"/>
        <v>Tampines Primary School</v>
      </c>
      <c r="D303" s="2" t="s">
        <v>17</v>
      </c>
      <c r="E303" s="2" t="s">
        <v>881</v>
      </c>
      <c r="F303" s="2" t="s">
        <v>14</v>
      </c>
      <c r="G303" s="2" t="s">
        <v>882</v>
      </c>
      <c r="I303"/>
      <c r="J303">
        <f>COUNTIF($A$2:A303,A303)</f>
        <v>1</v>
      </c>
      <c r="K303">
        <f>COUNTIFS($A$2:A303,A303,$D$2:D303,D303)</f>
        <v>1</v>
      </c>
    </row>
    <row r="304" ht="14.25" customHeight="1" spans="1:11">
      <c r="A304" s="2" t="s">
        <v>883</v>
      </c>
      <c r="B304" s="2" t="str">
        <f>TRIM(A304)</f>
        <v>TAMPINES SECONDARY SCHOOL</v>
      </c>
      <c r="C304" s="2" t="str">
        <f t="shared" si="4"/>
        <v>Tampines Secondary School</v>
      </c>
      <c r="D304" s="2" t="s">
        <v>17</v>
      </c>
      <c r="E304" s="2" t="s">
        <v>884</v>
      </c>
      <c r="F304" s="2" t="s">
        <v>32</v>
      </c>
      <c r="G304" s="2">
        <v>901</v>
      </c>
      <c r="I304"/>
      <c r="J304">
        <f>COUNTIF($A$2:A304,A304)</f>
        <v>1</v>
      </c>
      <c r="K304">
        <f>COUNTIFS($A$2:A304,A304,$D$2:D304,D304)</f>
        <v>1</v>
      </c>
    </row>
    <row r="305" ht="14.25" customHeight="1" spans="1:11">
      <c r="A305" s="2" t="s">
        <v>885</v>
      </c>
      <c r="B305" s="2" t="str">
        <f>TRIM(A305)</f>
        <v>Tanglin Secondary School</v>
      </c>
      <c r="C305" s="2" t="str">
        <f t="shared" si="4"/>
        <v>Tanglin Secondary School</v>
      </c>
      <c r="D305" s="2" t="s">
        <v>12</v>
      </c>
      <c r="E305" s="2" t="s">
        <v>886</v>
      </c>
      <c r="F305" s="2" t="s">
        <v>32</v>
      </c>
      <c r="G305" s="2" t="s">
        <v>887</v>
      </c>
      <c r="I305"/>
      <c r="J305">
        <f>COUNTIF($A$2:A305,A305)</f>
        <v>1</v>
      </c>
      <c r="K305">
        <f>COUNTIFS($A$2:A305,A305,$D$2:D305,D305)</f>
        <v>1</v>
      </c>
    </row>
    <row r="306" ht="14.25" customHeight="1" spans="1:11">
      <c r="A306" s="2" t="s">
        <v>888</v>
      </c>
      <c r="B306" s="2" t="str">
        <f>TRIM(A306)</f>
        <v>Tanjong Katong Girls' School</v>
      </c>
      <c r="C306" s="2" t="str">
        <f t="shared" si="4"/>
        <v>Tanjong Katong Girls' School</v>
      </c>
      <c r="D306" s="2" t="s">
        <v>17</v>
      </c>
      <c r="E306" s="2" t="s">
        <v>889</v>
      </c>
      <c r="F306" s="2" t="s">
        <v>32</v>
      </c>
      <c r="G306" s="2" t="s">
        <v>890</v>
      </c>
      <c r="I306"/>
      <c r="J306">
        <f>COUNTIF($A$2:A306,A306)</f>
        <v>1</v>
      </c>
      <c r="K306">
        <f>COUNTIFS($A$2:A306,A306,$D$2:D306,D306)</f>
        <v>1</v>
      </c>
    </row>
    <row r="307" ht="14.25" customHeight="1" spans="1:11">
      <c r="A307" s="2" t="s">
        <v>891</v>
      </c>
      <c r="B307" s="2" t="str">
        <f>TRIM(A307)</f>
        <v>Tanjong Katong Primary SCHOOL</v>
      </c>
      <c r="C307" s="2" t="str">
        <f t="shared" si="4"/>
        <v>Tanjong Katong Primary School</v>
      </c>
      <c r="D307" s="2" t="s">
        <v>17</v>
      </c>
      <c r="E307" s="2" t="s">
        <v>892</v>
      </c>
      <c r="F307" s="2" t="s">
        <v>14</v>
      </c>
      <c r="G307" s="2" t="s">
        <v>893</v>
      </c>
      <c r="I307"/>
      <c r="J307">
        <f>COUNTIF($A$2:A307,A307)</f>
        <v>1</v>
      </c>
      <c r="K307">
        <f>COUNTIFS($A$2:A307,A307,$D$2:D307,D307)</f>
        <v>1</v>
      </c>
    </row>
    <row r="308" ht="14.25" customHeight="1" spans="1:11">
      <c r="A308" s="2" t="s">
        <v>894</v>
      </c>
      <c r="B308" s="2" t="str">
        <f>TRIM(A308)</f>
        <v>Tanjong Katong Secondary School</v>
      </c>
      <c r="C308" s="2" t="str">
        <f t="shared" si="4"/>
        <v>Tanjong Katong Secondary School</v>
      </c>
      <c r="D308" s="2" t="s">
        <v>17</v>
      </c>
      <c r="E308" s="2" t="s">
        <v>895</v>
      </c>
      <c r="F308" s="2" t="s">
        <v>32</v>
      </c>
      <c r="G308" s="2" t="s">
        <v>896</v>
      </c>
      <c r="I308"/>
      <c r="J308">
        <f>COUNTIF($A$2:A308,A308)</f>
        <v>1</v>
      </c>
      <c r="K308">
        <f>COUNTIFS($A$2:A308,A308,$D$2:D308,D308)</f>
        <v>1</v>
      </c>
    </row>
    <row r="309" ht="14.25" customHeight="1" spans="1:11">
      <c r="A309" s="2" t="s">
        <v>897</v>
      </c>
      <c r="B309" s="2" t="str">
        <f>TRIM(A309)</f>
        <v>Tao Nan School</v>
      </c>
      <c r="C309" s="2" t="str">
        <f t="shared" si="4"/>
        <v>Tao Nan School</v>
      </c>
      <c r="D309" s="2" t="s">
        <v>17</v>
      </c>
      <c r="E309" s="2" t="s">
        <v>898</v>
      </c>
      <c r="F309" s="2" t="s">
        <v>14</v>
      </c>
      <c r="G309" s="2" t="s">
        <v>154</v>
      </c>
      <c r="I309"/>
      <c r="J309">
        <f>COUNTIF($A$2:A309,A309)</f>
        <v>1</v>
      </c>
      <c r="K309">
        <f>COUNTIFS($A$2:A309,A309,$D$2:D309,D309)</f>
        <v>1</v>
      </c>
    </row>
    <row r="310" ht="14.25" customHeight="1" spans="1:11">
      <c r="A310" s="2" t="s">
        <v>899</v>
      </c>
      <c r="B310" s="2" t="str">
        <f>TRIM(A310)</f>
        <v>Teck Ghee Primary School</v>
      </c>
      <c r="C310" s="2" t="str">
        <f t="shared" si="4"/>
        <v>Teck Ghee Primary School</v>
      </c>
      <c r="D310" s="2" t="s">
        <v>30</v>
      </c>
      <c r="E310" s="2" t="s">
        <v>900</v>
      </c>
      <c r="F310" s="2" t="s">
        <v>14</v>
      </c>
      <c r="G310" s="2" t="s">
        <v>901</v>
      </c>
      <c r="I310"/>
      <c r="J310">
        <f>COUNTIF($A$2:A310,A310)</f>
        <v>1</v>
      </c>
      <c r="K310">
        <f>COUNTIFS($A$2:A310,A310,$D$2:D310,D310)</f>
        <v>1</v>
      </c>
    </row>
    <row r="311" ht="14.25" customHeight="1" spans="1:11">
      <c r="A311" s="2" t="s">
        <v>902</v>
      </c>
      <c r="B311" s="2" t="str">
        <f>TRIM(A311)</f>
        <v>TECK WHYE PRIMARY SCHOOL</v>
      </c>
      <c r="C311" s="2" t="str">
        <f t="shared" si="4"/>
        <v>Teck Whye Primary School</v>
      </c>
      <c r="D311" s="2" t="s">
        <v>12</v>
      </c>
      <c r="E311" s="2" t="s">
        <v>903</v>
      </c>
      <c r="F311" s="2" t="s">
        <v>14</v>
      </c>
      <c r="G311" s="2" t="s">
        <v>904</v>
      </c>
      <c r="I311"/>
      <c r="J311">
        <f>COUNTIF($A$2:A311,A311)</f>
        <v>1</v>
      </c>
      <c r="K311">
        <f>COUNTIFS($A$2:A311,A311,$D$2:D311,D311)</f>
        <v>1</v>
      </c>
    </row>
    <row r="312" ht="14.25" customHeight="1" spans="1:11">
      <c r="A312" s="2" t="s">
        <v>905</v>
      </c>
      <c r="B312" s="2" t="str">
        <f>TRIM(A312)</f>
        <v>Teck Whye Secondary School</v>
      </c>
      <c r="C312" s="2" t="str">
        <f t="shared" si="4"/>
        <v>Teck Whye Secondary School</v>
      </c>
      <c r="D312" s="2" t="s">
        <v>12</v>
      </c>
      <c r="E312" s="2" t="s">
        <v>906</v>
      </c>
      <c r="F312" s="2" t="s">
        <v>32</v>
      </c>
      <c r="G312" s="2" t="s">
        <v>907</v>
      </c>
      <c r="I312"/>
      <c r="J312">
        <f>COUNTIF($A$2:A312,A312)</f>
        <v>1</v>
      </c>
      <c r="K312">
        <f>COUNTIFS($A$2:A312,A312,$D$2:D312,D312)</f>
        <v>1</v>
      </c>
    </row>
    <row r="313" ht="14.25" customHeight="1" spans="1:11">
      <c r="A313" s="2" t="s">
        <v>908</v>
      </c>
      <c r="B313" s="2" t="str">
        <f>TRIM(A313)</f>
        <v>Telok Kurau Primary School</v>
      </c>
      <c r="C313" s="2" t="str">
        <f t="shared" si="4"/>
        <v>Telok Kurau Primary School</v>
      </c>
      <c r="D313" s="2" t="s">
        <v>17</v>
      </c>
      <c r="E313" s="2" t="s">
        <v>909</v>
      </c>
      <c r="F313" s="2" t="s">
        <v>14</v>
      </c>
      <c r="G313" s="2" t="s">
        <v>910</v>
      </c>
      <c r="I313"/>
      <c r="J313">
        <f>COUNTIF($A$2:A313,A313)</f>
        <v>1</v>
      </c>
      <c r="K313">
        <f>COUNTIFS($A$2:A313,A313,$D$2:D313,D313)</f>
        <v>1</v>
      </c>
    </row>
    <row r="314" ht="14.25" customHeight="1" spans="1:11">
      <c r="A314" s="2" t="s">
        <v>911</v>
      </c>
      <c r="B314" s="2" t="str">
        <f>TRIM(A314)</f>
        <v>Temasek Junior College</v>
      </c>
      <c r="C314" s="2" t="str">
        <f t="shared" si="4"/>
        <v>Temasek Junior College</v>
      </c>
      <c r="D314" s="2" t="s">
        <v>17</v>
      </c>
      <c r="E314" s="2" t="s">
        <v>912</v>
      </c>
      <c r="F314" s="2" t="s">
        <v>117</v>
      </c>
      <c r="G314" s="2">
        <v>173</v>
      </c>
      <c r="I314"/>
      <c r="J314">
        <f>COUNTIF($A$2:A314,A314)</f>
        <v>1</v>
      </c>
      <c r="K314">
        <f>COUNTIFS($A$2:A314,A314,$D$2:D314,D314)</f>
        <v>1</v>
      </c>
    </row>
    <row r="315" ht="14.25" customHeight="1" spans="1:11">
      <c r="A315" s="2" t="s">
        <v>913</v>
      </c>
      <c r="B315" s="2" t="str">
        <f>TRIM(A315)</f>
        <v>Temasek Primary School</v>
      </c>
      <c r="C315" s="2" t="str">
        <f t="shared" si="4"/>
        <v>Temasek Primary School</v>
      </c>
      <c r="D315" s="2" t="s">
        <v>17</v>
      </c>
      <c r="E315" s="2" t="s">
        <v>914</v>
      </c>
      <c r="F315" s="2" t="s">
        <v>14</v>
      </c>
      <c r="G315" s="2" t="s">
        <v>915</v>
      </c>
      <c r="I315"/>
      <c r="J315">
        <f>COUNTIF($A$2:A315,A315)</f>
        <v>1</v>
      </c>
      <c r="K315">
        <f>COUNTIFS($A$2:A315,A315,$D$2:D315,D315)</f>
        <v>1</v>
      </c>
    </row>
    <row r="316" ht="14.25" customHeight="1" spans="1:11">
      <c r="A316" s="2" t="s">
        <v>916</v>
      </c>
      <c r="B316" s="2" t="str">
        <f>TRIM(A316)</f>
        <v>TEMASEK SECONDARY SCHOOL</v>
      </c>
      <c r="C316" s="2" t="str">
        <f t="shared" si="4"/>
        <v>Temasek Secondary School</v>
      </c>
      <c r="D316" s="2" t="s">
        <v>17</v>
      </c>
      <c r="E316" s="2" t="s">
        <v>917</v>
      </c>
      <c r="F316" s="2" t="s">
        <v>32</v>
      </c>
      <c r="G316" s="2" t="s">
        <v>918</v>
      </c>
      <c r="I316"/>
      <c r="J316">
        <f>COUNTIF($A$2:A316,A316)</f>
        <v>1</v>
      </c>
      <c r="K316">
        <f>COUNTIFS($A$2:A316,A316,$D$2:D316,D316)</f>
        <v>1</v>
      </c>
    </row>
    <row r="317" ht="14.25" customHeight="1" spans="1:11">
      <c r="A317" s="2" t="s">
        <v>919</v>
      </c>
      <c r="B317" s="2" t="str">
        <f>TRIM(A317)</f>
        <v>Townsville Primary School</v>
      </c>
      <c r="C317" s="2" t="str">
        <f t="shared" si="4"/>
        <v>Townsville Primary School</v>
      </c>
      <c r="D317" s="2" t="s">
        <v>30</v>
      </c>
      <c r="E317" s="2" t="s">
        <v>920</v>
      </c>
      <c r="F317" s="2" t="s">
        <v>14</v>
      </c>
      <c r="G317" s="2" t="s">
        <v>921</v>
      </c>
      <c r="I317"/>
      <c r="J317">
        <f>COUNTIF($A$2:A317,A317)</f>
        <v>1</v>
      </c>
      <c r="K317">
        <f>COUNTIFS($A$2:A317,A317,$D$2:D317,D317)</f>
        <v>1</v>
      </c>
    </row>
    <row r="318" ht="14.25" customHeight="1" spans="1:11">
      <c r="A318" s="2" t="s">
        <v>922</v>
      </c>
      <c r="B318" s="2" t="str">
        <f>TRIM(A318)</f>
        <v>Unity Primary School</v>
      </c>
      <c r="C318" s="2" t="str">
        <f t="shared" si="4"/>
        <v>Unity Primary School</v>
      </c>
      <c r="D318" s="2" t="s">
        <v>12</v>
      </c>
      <c r="E318" s="2" t="s">
        <v>923</v>
      </c>
      <c r="F318" s="2" t="s">
        <v>14</v>
      </c>
      <c r="G318" s="2" t="s">
        <v>924</v>
      </c>
      <c r="I318"/>
      <c r="J318">
        <f>COUNTIF($A$2:A318,A318)</f>
        <v>1</v>
      </c>
      <c r="K318">
        <f>COUNTIFS($A$2:A318,A318,$D$2:D318,D318)</f>
        <v>1</v>
      </c>
    </row>
    <row r="319" ht="14.25" customHeight="1" spans="1:11">
      <c r="A319" s="2" t="s">
        <v>925</v>
      </c>
      <c r="B319" s="2" t="str">
        <f>TRIM(A319)</f>
        <v>Unity Secondary School</v>
      </c>
      <c r="C319" s="2" t="str">
        <f t="shared" si="4"/>
        <v>Unity Secondary School</v>
      </c>
      <c r="D319" s="2" t="s">
        <v>12</v>
      </c>
      <c r="E319" s="2" t="s">
        <v>926</v>
      </c>
      <c r="F319" s="2" t="s">
        <v>32</v>
      </c>
      <c r="G319" s="2" t="s">
        <v>927</v>
      </c>
      <c r="I319"/>
      <c r="J319">
        <f>COUNTIF($A$2:A319,A319)</f>
        <v>1</v>
      </c>
      <c r="K319">
        <f>COUNTIFS($A$2:A319,A319,$D$2:D319,D319)</f>
        <v>1</v>
      </c>
    </row>
    <row r="320" ht="14.25" customHeight="1" spans="1:11">
      <c r="A320" s="2" t="s">
        <v>928</v>
      </c>
      <c r="B320" s="2" t="str">
        <f>TRIM(A320)</f>
        <v>VICTORIA JUNIOR COLLEGE</v>
      </c>
      <c r="C320" s="2" t="str">
        <f t="shared" si="4"/>
        <v>Victoria Junior College</v>
      </c>
      <c r="D320" s="2" t="s">
        <v>17</v>
      </c>
      <c r="E320" s="2" t="s">
        <v>929</v>
      </c>
      <c r="F320" s="2" t="s">
        <v>57</v>
      </c>
      <c r="G320" s="2">
        <v>945</v>
      </c>
      <c r="I320"/>
      <c r="J320">
        <f>COUNTIF($A$2:A320,A320)</f>
        <v>1</v>
      </c>
      <c r="K320">
        <f>COUNTIFS($A$2:A320,A320,$D$2:D320,D320)</f>
        <v>1</v>
      </c>
    </row>
    <row r="321" ht="14.25" customHeight="1" spans="1:11">
      <c r="A321" s="2" t="s">
        <v>930</v>
      </c>
      <c r="B321" s="2" t="str">
        <f>TRIM(A321)</f>
        <v>Victoria School</v>
      </c>
      <c r="C321" s="2" t="str">
        <f t="shared" si="4"/>
        <v>Victoria School</v>
      </c>
      <c r="D321" s="2" t="s">
        <v>17</v>
      </c>
      <c r="E321" s="2" t="s">
        <v>931</v>
      </c>
      <c r="F321" s="2" t="s">
        <v>32</v>
      </c>
      <c r="G321" s="2" t="s">
        <v>932</v>
      </c>
      <c r="I321"/>
      <c r="J321">
        <f>COUNTIF($A$2:A321,A321)</f>
        <v>1</v>
      </c>
      <c r="K321">
        <f>COUNTIFS($A$2:A321,A321,$D$2:D321,D321)</f>
        <v>1</v>
      </c>
    </row>
    <row r="322" ht="14.25" customHeight="1" spans="1:11">
      <c r="A322" s="2" t="s">
        <v>933</v>
      </c>
      <c r="B322" s="2" t="str">
        <f>TRIM(A322)</f>
        <v>Waterway Primary School</v>
      </c>
      <c r="C322" s="2" t="str">
        <f t="shared" si="4"/>
        <v>Waterway Primary School</v>
      </c>
      <c r="D322" s="2" t="s">
        <v>17</v>
      </c>
      <c r="E322" s="2" t="s">
        <v>934</v>
      </c>
      <c r="F322" s="2" t="s">
        <v>14</v>
      </c>
      <c r="G322" s="2" t="s">
        <v>935</v>
      </c>
      <c r="I322"/>
      <c r="J322">
        <f>COUNTIF($A$2:A322,A322)</f>
        <v>1</v>
      </c>
      <c r="K322">
        <f>COUNTIFS($A$2:A322,A322,$D$2:D322,D322)</f>
        <v>1</v>
      </c>
    </row>
    <row r="323" ht="14.25" customHeight="1" spans="1:11">
      <c r="A323" s="2" t="s">
        <v>936</v>
      </c>
      <c r="B323" s="2" t="str">
        <f>TRIM(A323)</f>
        <v>Wellington Primary School</v>
      </c>
      <c r="C323" s="2" t="str">
        <f t="shared" ref="C323:C359" si="5">PROPER(B323)</f>
        <v>Wellington Primary School</v>
      </c>
      <c r="D323" s="2" t="s">
        <v>20</v>
      </c>
      <c r="E323" s="2" t="s">
        <v>937</v>
      </c>
      <c r="F323" s="2" t="s">
        <v>14</v>
      </c>
      <c r="G323" s="2" t="s">
        <v>938</v>
      </c>
      <c r="I323"/>
      <c r="J323">
        <f>COUNTIF($A$2:A323,A323)</f>
        <v>1</v>
      </c>
      <c r="K323">
        <f>COUNTIFS($A$2:A323,A323,$D$2:D323,D323)</f>
        <v>1</v>
      </c>
    </row>
    <row r="324" ht="14.25" customHeight="1" spans="1:11">
      <c r="A324" s="2" t="s">
        <v>939</v>
      </c>
      <c r="B324" s="2" t="str">
        <f>TRIM(A324)</f>
        <v>West Grove Primary School</v>
      </c>
      <c r="C324" s="2" t="str">
        <f t="shared" si="5"/>
        <v>West Grove Primary School</v>
      </c>
      <c r="D324" s="2" t="s">
        <v>12</v>
      </c>
      <c r="E324" s="2" t="s">
        <v>940</v>
      </c>
      <c r="F324" s="2" t="s">
        <v>14</v>
      </c>
      <c r="G324" s="2" t="s">
        <v>941</v>
      </c>
      <c r="I324"/>
      <c r="J324">
        <f>COUNTIF($A$2:A324,A324)</f>
        <v>1</v>
      </c>
      <c r="K324">
        <f>COUNTIFS($A$2:A324,A324,$D$2:D324,D324)</f>
        <v>1</v>
      </c>
    </row>
    <row r="325" ht="14.25" customHeight="1" spans="1:11">
      <c r="A325" s="2" t="s">
        <v>942</v>
      </c>
      <c r="B325" s="2" t="str">
        <f>TRIM(A325)</f>
        <v>West Spring Secondary School</v>
      </c>
      <c r="C325" s="2" t="str">
        <f t="shared" si="5"/>
        <v>West Spring Secondary School</v>
      </c>
      <c r="D325" s="2" t="s">
        <v>12</v>
      </c>
      <c r="E325" s="2" t="s">
        <v>943</v>
      </c>
      <c r="F325" s="2" t="s">
        <v>32</v>
      </c>
      <c r="G325" s="2" t="s">
        <v>944</v>
      </c>
      <c r="I325"/>
      <c r="J325">
        <f>COUNTIF($A$2:A325,A325)</f>
        <v>1</v>
      </c>
      <c r="K325">
        <f>COUNTIFS($A$2:A325,A325,$D$2:D325,D325)</f>
        <v>1</v>
      </c>
    </row>
    <row r="326" ht="14.25" customHeight="1" spans="1:11">
      <c r="A326" s="2" t="s">
        <v>945</v>
      </c>
      <c r="B326" s="2" t="str">
        <f>TRIM(A326)</f>
        <v>West View Primary School</v>
      </c>
      <c r="C326" s="2" t="str">
        <f t="shared" si="5"/>
        <v>West View Primary School</v>
      </c>
      <c r="D326" s="2" t="s">
        <v>12</v>
      </c>
      <c r="E326" s="2" t="s">
        <v>946</v>
      </c>
      <c r="F326" s="2" t="s">
        <v>14</v>
      </c>
      <c r="G326" s="2" t="s">
        <v>947</v>
      </c>
      <c r="I326"/>
      <c r="J326">
        <f>COUNTIF($A$2:A326,A326)</f>
        <v>1</v>
      </c>
      <c r="K326">
        <f>COUNTIFS($A$2:A326,A326,$D$2:D326,D326)</f>
        <v>1</v>
      </c>
    </row>
    <row r="327" ht="14.25" customHeight="1" spans="1:11">
      <c r="A327" s="2" t="s">
        <v>948</v>
      </c>
      <c r="B327" s="2" t="str">
        <f>TRIM(A327)</f>
        <v>Westwood Primary School</v>
      </c>
      <c r="C327" s="2" t="str">
        <f t="shared" si="5"/>
        <v>Westwood Primary School</v>
      </c>
      <c r="D327" s="2" t="s">
        <v>12</v>
      </c>
      <c r="E327" s="2" t="s">
        <v>949</v>
      </c>
      <c r="F327" s="2" t="s">
        <v>14</v>
      </c>
      <c r="G327" s="2" t="s">
        <v>950</v>
      </c>
      <c r="I327"/>
      <c r="J327">
        <f>COUNTIF($A$2:A327,A327)</f>
        <v>1</v>
      </c>
      <c r="K327">
        <f>COUNTIFS($A$2:A327,A327,$D$2:D327,D327)</f>
        <v>1</v>
      </c>
    </row>
    <row r="328" ht="14.25" customHeight="1" spans="1:11">
      <c r="A328" s="2" t="s">
        <v>951</v>
      </c>
      <c r="B328" s="2" t="str">
        <f>TRIM(A328)</f>
        <v>Westwood Secondary School</v>
      </c>
      <c r="C328" s="2" t="str">
        <f t="shared" si="5"/>
        <v>Westwood Secondary School</v>
      </c>
      <c r="D328" s="2" t="s">
        <v>12</v>
      </c>
      <c r="E328" s="2" t="s">
        <v>952</v>
      </c>
      <c r="F328" s="2" t="s">
        <v>32</v>
      </c>
      <c r="G328" s="2" t="s">
        <v>148</v>
      </c>
      <c r="I328"/>
      <c r="J328">
        <f>COUNTIF($A$2:A328,A328)</f>
        <v>1</v>
      </c>
      <c r="K328">
        <f>COUNTIFS($A$2:A328,A328,$D$2:D328,D328)</f>
        <v>1</v>
      </c>
    </row>
    <row r="329" ht="14.25" customHeight="1" spans="1:11">
      <c r="A329" s="2" t="s">
        <v>953</v>
      </c>
      <c r="B329" s="2" t="str">
        <f>TRIM(A329)</f>
        <v>White Sands Primary School</v>
      </c>
      <c r="C329" s="2" t="str">
        <f t="shared" si="5"/>
        <v>White Sands Primary School</v>
      </c>
      <c r="D329" s="2" t="s">
        <v>17</v>
      </c>
      <c r="E329" s="2" t="s">
        <v>954</v>
      </c>
      <c r="F329" s="2" t="s">
        <v>14</v>
      </c>
      <c r="G329" s="2" t="s">
        <v>955</v>
      </c>
      <c r="I329"/>
      <c r="J329">
        <f>COUNTIF($A$2:A329,A329)</f>
        <v>1</v>
      </c>
      <c r="K329">
        <f>COUNTIFS($A$2:A329,A329,$D$2:D329,D329)</f>
        <v>1</v>
      </c>
    </row>
    <row r="330" ht="14.25" customHeight="1" spans="1:11">
      <c r="A330" s="2" t="s">
        <v>956</v>
      </c>
      <c r="B330" s="2" t="str">
        <f>TRIM(A330)</f>
        <v>Whitley Secondary School</v>
      </c>
      <c r="C330" s="2" t="str">
        <f t="shared" si="5"/>
        <v>Whitley Secondary School</v>
      </c>
      <c r="D330" s="2" t="s">
        <v>30</v>
      </c>
      <c r="E330" s="2" t="s">
        <v>957</v>
      </c>
      <c r="F330" s="2" t="s">
        <v>32</v>
      </c>
      <c r="G330" s="2" t="s">
        <v>958</v>
      </c>
      <c r="I330"/>
      <c r="J330">
        <f>COUNTIF($A$2:A330,A330)</f>
        <v>1</v>
      </c>
      <c r="K330">
        <f>COUNTIFS($A$2:A330,A330,$D$2:D330,D330)</f>
        <v>1</v>
      </c>
    </row>
    <row r="331" ht="14.25" customHeight="1" spans="1:11">
      <c r="A331" s="2" t="s">
        <v>959</v>
      </c>
      <c r="B331" s="2" t="str">
        <f>TRIM(A331)</f>
        <v>Woodgrove Primary School</v>
      </c>
      <c r="C331" s="2" t="str">
        <f t="shared" si="5"/>
        <v>Woodgrove Primary School</v>
      </c>
      <c r="D331" s="2" t="s">
        <v>20</v>
      </c>
      <c r="E331" s="2" t="s">
        <v>960</v>
      </c>
      <c r="F331" s="2" t="s">
        <v>14</v>
      </c>
      <c r="G331" s="2">
        <v>307</v>
      </c>
      <c r="I331"/>
      <c r="J331">
        <f>COUNTIF($A$2:A331,A331)</f>
        <v>1</v>
      </c>
      <c r="K331">
        <f>COUNTIFS($A$2:A331,A331,$D$2:D331,D331)</f>
        <v>1</v>
      </c>
    </row>
    <row r="332" ht="14.25" customHeight="1" spans="1:11">
      <c r="A332" s="2" t="s">
        <v>961</v>
      </c>
      <c r="B332" s="2" t="str">
        <f>TRIM(A332)</f>
        <v>Woodgrove Secondary School</v>
      </c>
      <c r="C332" s="2" t="str">
        <f t="shared" si="5"/>
        <v>Woodgrove Secondary School</v>
      </c>
      <c r="D332" s="2" t="s">
        <v>20</v>
      </c>
      <c r="E332" s="2" t="s">
        <v>962</v>
      </c>
      <c r="F332" s="2" t="s">
        <v>32</v>
      </c>
      <c r="G332" s="2" t="s">
        <v>335</v>
      </c>
      <c r="I332"/>
      <c r="J332">
        <f>COUNTIF($A$2:A332,A332)</f>
        <v>1</v>
      </c>
      <c r="K332">
        <f>COUNTIFS($A$2:A332,A332,$D$2:D332,D332)</f>
        <v>1</v>
      </c>
    </row>
    <row r="333" ht="14.25" customHeight="1" spans="1:11">
      <c r="A333" s="2" t="s">
        <v>963</v>
      </c>
      <c r="B333" s="2" t="str">
        <f>TRIM(A333)</f>
        <v>Woodlands Primary School</v>
      </c>
      <c r="C333" s="2" t="str">
        <f t="shared" si="5"/>
        <v>Woodlands Primary School</v>
      </c>
      <c r="D333" s="2" t="s">
        <v>20</v>
      </c>
      <c r="E333" s="2" t="s">
        <v>964</v>
      </c>
      <c r="F333" s="2" t="s">
        <v>14</v>
      </c>
      <c r="G333" s="2">
        <v>131</v>
      </c>
      <c r="I333"/>
      <c r="J333">
        <f>COUNTIF($A$2:A333,A333)</f>
        <v>1</v>
      </c>
      <c r="K333">
        <f>COUNTIFS($A$2:A333,A333,$D$2:D333,D333)</f>
        <v>1</v>
      </c>
    </row>
    <row r="334" ht="14.25" customHeight="1" spans="1:11">
      <c r="A334" s="2" t="s">
        <v>965</v>
      </c>
      <c r="B334" s="2" t="str">
        <f>TRIM(A334)</f>
        <v>Woodlands Ring Primary School</v>
      </c>
      <c r="C334" s="2" t="str">
        <f t="shared" si="5"/>
        <v>Woodlands Ring Primary School</v>
      </c>
      <c r="D334" s="2" t="s">
        <v>20</v>
      </c>
      <c r="E334" s="2" t="s">
        <v>966</v>
      </c>
      <c r="F334" s="2" t="s">
        <v>14</v>
      </c>
      <c r="G334" s="2">
        <v>241</v>
      </c>
      <c r="I334"/>
      <c r="J334">
        <f>COUNTIF($A$2:A334,A334)</f>
        <v>1</v>
      </c>
      <c r="K334">
        <f>COUNTIFS($A$2:A334,A334,$D$2:D334,D334)</f>
        <v>1</v>
      </c>
    </row>
    <row r="335" ht="14.25" customHeight="1" spans="1:11">
      <c r="A335" s="2" t="s">
        <v>967</v>
      </c>
      <c r="B335" s="2" t="str">
        <f>TRIM(A335)</f>
        <v>Woodlands Ring Secondary School</v>
      </c>
      <c r="C335" s="2" t="str">
        <f t="shared" si="5"/>
        <v>Woodlands Ring Secondary School</v>
      </c>
      <c r="D335" s="2" t="s">
        <v>20</v>
      </c>
      <c r="E335" s="2" t="s">
        <v>968</v>
      </c>
      <c r="F335" s="2" t="s">
        <v>32</v>
      </c>
      <c r="G335" s="2" t="s">
        <v>969</v>
      </c>
      <c r="I335"/>
      <c r="J335">
        <f>COUNTIF($A$2:A335,A335)</f>
        <v>1</v>
      </c>
      <c r="K335">
        <f>COUNTIFS($A$2:A335,A335,$D$2:D335,D335)</f>
        <v>1</v>
      </c>
    </row>
    <row r="336" ht="14.25" customHeight="1" spans="1:11">
      <c r="A336" s="2" t="s">
        <v>970</v>
      </c>
      <c r="B336" s="2" t="str">
        <f>TRIM(A336)</f>
        <v>Woodlands Secondary School</v>
      </c>
      <c r="C336" s="2" t="str">
        <f t="shared" si="5"/>
        <v>Woodlands Secondary School</v>
      </c>
      <c r="D336" s="2" t="s">
        <v>20</v>
      </c>
      <c r="E336" s="2" t="s">
        <v>971</v>
      </c>
      <c r="F336" s="2" t="s">
        <v>32</v>
      </c>
      <c r="G336" s="2" t="s">
        <v>972</v>
      </c>
      <c r="I336"/>
      <c r="J336">
        <f>COUNTIF($A$2:A336,A336)</f>
        <v>1</v>
      </c>
      <c r="K336">
        <f>COUNTIFS($A$2:A336,A336,$D$2:D336,D336)</f>
        <v>1</v>
      </c>
    </row>
    <row r="337" ht="14.25" customHeight="1" spans="1:11">
      <c r="A337" s="2" t="s">
        <v>973</v>
      </c>
      <c r="B337" s="2" t="str">
        <f>TRIM(A337)</f>
        <v>Xinghua Primary School</v>
      </c>
      <c r="C337" s="2" t="str">
        <f t="shared" si="5"/>
        <v>Xinghua Primary School</v>
      </c>
      <c r="D337" s="2" t="s">
        <v>30</v>
      </c>
      <c r="E337" s="2" t="s">
        <v>974</v>
      </c>
      <c r="F337" s="2" t="s">
        <v>14</v>
      </c>
      <c r="G337" s="2" t="s">
        <v>975</v>
      </c>
      <c r="I337"/>
      <c r="J337">
        <f>COUNTIF($A$2:A337,A337)</f>
        <v>1</v>
      </c>
      <c r="K337">
        <f>COUNTIFS($A$2:A337,A337,$D$2:D337,D337)</f>
        <v>1</v>
      </c>
    </row>
    <row r="338" ht="14.25" customHeight="1" spans="1:11">
      <c r="A338" s="2" t="s">
        <v>976</v>
      </c>
      <c r="B338" s="2" t="str">
        <f>TRIM(A338)</f>
        <v>Xingnan Primary School</v>
      </c>
      <c r="C338" s="2" t="str">
        <f t="shared" si="5"/>
        <v>Xingnan Primary School</v>
      </c>
      <c r="D338" s="2" t="s">
        <v>12</v>
      </c>
      <c r="E338" s="2" t="s">
        <v>977</v>
      </c>
      <c r="F338" s="2" t="s">
        <v>14</v>
      </c>
      <c r="G338" s="2" t="s">
        <v>978</v>
      </c>
      <c r="I338"/>
      <c r="J338">
        <f>COUNTIF($A$2:A338,A338)</f>
        <v>1</v>
      </c>
      <c r="K338">
        <f>COUNTIFS($A$2:A338,A338,$D$2:D338,D338)</f>
        <v>1</v>
      </c>
    </row>
    <row r="339" ht="14.25" customHeight="1" spans="1:11">
      <c r="A339" s="2" t="s">
        <v>979</v>
      </c>
      <c r="B339" s="2" t="str">
        <f>TRIM(A339)</f>
        <v>Xinmin Primary School</v>
      </c>
      <c r="C339" s="2" t="str">
        <f t="shared" si="5"/>
        <v>Xinmin Primary School</v>
      </c>
      <c r="D339" s="2" t="s">
        <v>20</v>
      </c>
      <c r="E339" s="2" t="s">
        <v>980</v>
      </c>
      <c r="F339" s="2" t="s">
        <v>14</v>
      </c>
      <c r="G339" s="2" t="s">
        <v>981</v>
      </c>
      <c r="I339"/>
      <c r="J339">
        <f>COUNTIF($A$2:A339,A339)</f>
        <v>1</v>
      </c>
      <c r="K339">
        <f>COUNTIFS($A$2:A339,A339,$D$2:D339,D339)</f>
        <v>1</v>
      </c>
    </row>
    <row r="340" ht="14.25" customHeight="1" spans="1:11">
      <c r="A340" s="2" t="s">
        <v>982</v>
      </c>
      <c r="B340" s="2" t="str">
        <f>TRIM(A340)</f>
        <v>Xinmin Secondary School</v>
      </c>
      <c r="C340" s="2" t="str">
        <f t="shared" si="5"/>
        <v>Xinmin Secondary School</v>
      </c>
      <c r="D340" s="2" t="s">
        <v>20</v>
      </c>
      <c r="E340" s="2" t="s">
        <v>983</v>
      </c>
      <c r="F340" s="2" t="s">
        <v>32</v>
      </c>
      <c r="G340" s="2" t="s">
        <v>984</v>
      </c>
      <c r="I340"/>
      <c r="J340">
        <f>COUNTIF($A$2:A340,A340)</f>
        <v>1</v>
      </c>
      <c r="K340">
        <f>COUNTIFS($A$2:A340,A340,$D$2:D340,D340)</f>
        <v>1</v>
      </c>
    </row>
    <row r="341" ht="14.25" customHeight="1" spans="1:11">
      <c r="A341" s="2" t="s">
        <v>985</v>
      </c>
      <c r="B341" s="2" t="str">
        <f>TRIM(A341)</f>
        <v>Xishan Primary School</v>
      </c>
      <c r="C341" s="2" t="str">
        <f t="shared" si="5"/>
        <v>Xishan Primary School</v>
      </c>
      <c r="D341" s="2" t="s">
        <v>20</v>
      </c>
      <c r="E341" s="2" t="s">
        <v>986</v>
      </c>
      <c r="F341" s="2" t="s">
        <v>14</v>
      </c>
      <c r="G341" s="2" t="s">
        <v>987</v>
      </c>
      <c r="I341"/>
      <c r="J341">
        <f>COUNTIF($A$2:A341,A341)</f>
        <v>1</v>
      </c>
      <c r="K341">
        <f>COUNTIFS($A$2:A341,A341,$D$2:D341,D341)</f>
        <v>1</v>
      </c>
    </row>
    <row r="342" ht="14.25" customHeight="1" spans="1:11">
      <c r="A342" s="2" t="s">
        <v>988</v>
      </c>
      <c r="B342" s="2" t="str">
        <f>TRIM(A342)</f>
        <v>Yangzheng Primary School</v>
      </c>
      <c r="C342" s="2" t="str">
        <f t="shared" si="5"/>
        <v>Yangzheng Primary School</v>
      </c>
      <c r="D342" s="2" t="s">
        <v>30</v>
      </c>
      <c r="E342" s="2" t="s">
        <v>989</v>
      </c>
      <c r="F342" s="2" t="s">
        <v>14</v>
      </c>
      <c r="G342" s="2" t="s">
        <v>990</v>
      </c>
      <c r="I342"/>
      <c r="J342">
        <f>COUNTIF($A$2:A342,A342)</f>
        <v>1</v>
      </c>
      <c r="K342">
        <f>COUNTIFS($A$2:A342,A342,$D$2:D342,D342)</f>
        <v>1</v>
      </c>
    </row>
    <row r="343" ht="14.25" customHeight="1" spans="1:11">
      <c r="A343" s="2" t="s">
        <v>991</v>
      </c>
      <c r="B343" s="2" t="str">
        <f>TRIM(A343)</f>
        <v>Yew Tee Primary School</v>
      </c>
      <c r="C343" s="2" t="str">
        <f t="shared" si="5"/>
        <v>Yew Tee Primary School</v>
      </c>
      <c r="D343" s="2" t="s">
        <v>12</v>
      </c>
      <c r="E343" s="2" t="s">
        <v>992</v>
      </c>
      <c r="F343" s="2" t="s">
        <v>14</v>
      </c>
      <c r="G343" s="2" t="s">
        <v>950</v>
      </c>
      <c r="I343"/>
      <c r="J343">
        <f>COUNTIF($A$2:A343,A343)</f>
        <v>1</v>
      </c>
      <c r="K343">
        <f>COUNTIFS($A$2:A343,A343,$D$2:D343,D343)</f>
        <v>1</v>
      </c>
    </row>
    <row r="344" ht="14.25" customHeight="1" spans="1:11">
      <c r="A344" s="2" t="s">
        <v>993</v>
      </c>
      <c r="B344" s="2" t="str">
        <f>TRIM(A344)</f>
        <v>Yio Chu Kang Primary School</v>
      </c>
      <c r="C344" s="2" t="str">
        <f t="shared" si="5"/>
        <v>Yio Chu Kang Primary School</v>
      </c>
      <c r="D344" s="2" t="s">
        <v>20</v>
      </c>
      <c r="E344" s="2" t="s">
        <v>994</v>
      </c>
      <c r="F344" s="2" t="s">
        <v>14</v>
      </c>
      <c r="G344" s="2" t="s">
        <v>995</v>
      </c>
      <c r="I344"/>
      <c r="J344">
        <f>COUNTIF($A$2:A344,A344)</f>
        <v>1</v>
      </c>
      <c r="K344">
        <f>COUNTIFS($A$2:A344,A344,$D$2:D344,D344)</f>
        <v>1</v>
      </c>
    </row>
    <row r="345" ht="14.25" customHeight="1" spans="1:11">
      <c r="A345" s="2" t="s">
        <v>996</v>
      </c>
      <c r="B345" s="2" t="str">
        <f>TRIM(A345)</f>
        <v>Yio Chu Kang Secondary School</v>
      </c>
      <c r="C345" s="2" t="str">
        <f t="shared" si="5"/>
        <v>Yio Chu Kang Secondary School</v>
      </c>
      <c r="D345" s="2" t="s">
        <v>20</v>
      </c>
      <c r="E345" s="2" t="s">
        <v>997</v>
      </c>
      <c r="F345" s="2" t="s">
        <v>32</v>
      </c>
      <c r="G345" s="2" t="s">
        <v>293</v>
      </c>
      <c r="I345"/>
      <c r="J345">
        <f>COUNTIF($A$2:A345,A345)</f>
        <v>1</v>
      </c>
      <c r="K345">
        <f>COUNTIFS($A$2:A345,A345,$D$2:D345,D345)</f>
        <v>1</v>
      </c>
    </row>
    <row r="346" ht="14.25" customHeight="1" spans="1:11">
      <c r="A346" s="2" t="s">
        <v>998</v>
      </c>
      <c r="B346" s="2" t="str">
        <f>TRIM(A346)</f>
        <v>Yishun Junior College</v>
      </c>
      <c r="C346" s="2" t="str">
        <f t="shared" si="5"/>
        <v>Yishun Junior College</v>
      </c>
      <c r="D346" s="2" t="s">
        <v>20</v>
      </c>
      <c r="E346" s="2" t="s">
        <v>999</v>
      </c>
      <c r="F346" s="2" t="s">
        <v>57</v>
      </c>
      <c r="G346" s="2" t="s">
        <v>1000</v>
      </c>
      <c r="I346"/>
      <c r="J346">
        <f>COUNTIF($A$2:A346,A346)</f>
        <v>1</v>
      </c>
      <c r="K346">
        <f>COUNTIFS($A$2:A346,A346,$D$2:D346,D346)</f>
        <v>1</v>
      </c>
    </row>
    <row r="347" ht="14.25" customHeight="1" spans="1:11">
      <c r="A347" s="2" t="s">
        <v>1001</v>
      </c>
      <c r="B347" s="2" t="str">
        <f>TRIM(A347)</f>
        <v>Yishun Primary School</v>
      </c>
      <c r="C347" s="2" t="str">
        <f t="shared" si="5"/>
        <v>Yishun Primary School</v>
      </c>
      <c r="D347" s="2" t="s">
        <v>20</v>
      </c>
      <c r="E347" s="2" t="s">
        <v>1002</v>
      </c>
      <c r="F347" s="2" t="s">
        <v>14</v>
      </c>
      <c r="G347" s="2" t="s">
        <v>1003</v>
      </c>
      <c r="I347"/>
      <c r="J347">
        <f>COUNTIF($A$2:A347,A347)</f>
        <v>1</v>
      </c>
      <c r="K347">
        <f>COUNTIFS($A$2:A347,A347,$D$2:D347,D347)</f>
        <v>1</v>
      </c>
    </row>
    <row r="348" ht="14.25" customHeight="1" spans="1:11">
      <c r="A348" s="2" t="s">
        <v>1004</v>
      </c>
      <c r="B348" s="2" t="str">
        <f>TRIM(A348)</f>
        <v>Yishun Secondary School</v>
      </c>
      <c r="C348" s="2" t="str">
        <f t="shared" si="5"/>
        <v>Yishun Secondary School</v>
      </c>
      <c r="D348" s="2" t="s">
        <v>20</v>
      </c>
      <c r="E348" s="2" t="s">
        <v>1005</v>
      </c>
      <c r="F348" s="2" t="s">
        <v>32</v>
      </c>
      <c r="G348" s="2" t="s">
        <v>1006</v>
      </c>
      <c r="I348"/>
      <c r="J348">
        <f>COUNTIF($A$2:A348,A348)</f>
        <v>1</v>
      </c>
      <c r="K348">
        <f>COUNTIFS($A$2:A348,A348,$D$2:D348,D348)</f>
        <v>1</v>
      </c>
    </row>
    <row r="349" ht="14.25" customHeight="1" spans="1:11">
      <c r="A349" s="2" t="s">
        <v>1007</v>
      </c>
      <c r="B349" s="2" t="str">
        <f>TRIM(A349)</f>
        <v>Yishun Town Secondary School</v>
      </c>
      <c r="C349" s="2" t="str">
        <f t="shared" si="5"/>
        <v>Yishun Town Secondary School</v>
      </c>
      <c r="D349" s="2" t="s">
        <v>20</v>
      </c>
      <c r="E349" s="2" t="s">
        <v>1008</v>
      </c>
      <c r="F349" s="2" t="s">
        <v>32</v>
      </c>
      <c r="G349" s="2" t="s">
        <v>1009</v>
      </c>
      <c r="I349"/>
      <c r="J349">
        <f>COUNTIF($A$2:A349,A349)</f>
        <v>1</v>
      </c>
      <c r="K349">
        <f>COUNTIFS($A$2:A349,A349,$D$2:D349,D349)</f>
        <v>1</v>
      </c>
    </row>
    <row r="350" ht="14.25" customHeight="1" spans="1:11">
      <c r="A350" s="2" t="s">
        <v>1010</v>
      </c>
      <c r="B350" s="2" t="str">
        <f>TRIM(A350)</f>
        <v>Yu Neng Primary School</v>
      </c>
      <c r="C350" s="2" t="str">
        <f t="shared" si="5"/>
        <v>Yu Neng Primary School</v>
      </c>
      <c r="D350" s="2" t="s">
        <v>17</v>
      </c>
      <c r="E350" s="2" t="s">
        <v>1011</v>
      </c>
      <c r="F350" s="2" t="s">
        <v>14</v>
      </c>
      <c r="G350" s="2" t="s">
        <v>1012</v>
      </c>
      <c r="I350"/>
      <c r="J350">
        <f>COUNTIF($A$2:A350,A350)</f>
        <v>1</v>
      </c>
      <c r="K350">
        <f>COUNTIFS($A$2:A350,A350,$D$2:D350,D350)</f>
        <v>1</v>
      </c>
    </row>
    <row r="351" ht="14.25" customHeight="1" spans="1:11">
      <c r="A351" s="2" t="s">
        <v>1013</v>
      </c>
      <c r="B351" s="2" t="str">
        <f>TRIM(A351)</f>
        <v>Yuan Ching Secondary School</v>
      </c>
      <c r="C351" s="2" t="str">
        <f t="shared" si="5"/>
        <v>Yuan Ching Secondary School</v>
      </c>
      <c r="D351" s="2" t="s">
        <v>12</v>
      </c>
      <c r="E351" s="2" t="s">
        <v>1014</v>
      </c>
      <c r="F351" s="2" t="s">
        <v>32</v>
      </c>
      <c r="G351" s="2" t="s">
        <v>1015</v>
      </c>
      <c r="I351"/>
      <c r="J351">
        <f>COUNTIF($A$2:A351,A351)</f>
        <v>1</v>
      </c>
      <c r="K351">
        <f>COUNTIFS($A$2:A351,A351,$D$2:D351,D351)</f>
        <v>1</v>
      </c>
    </row>
    <row r="352" ht="14.25" customHeight="1" spans="1:11">
      <c r="A352" s="2" t="s">
        <v>1016</v>
      </c>
      <c r="B352" s="2" t="str">
        <f>TRIM(A352)</f>
        <v>Yuhua Primary School</v>
      </c>
      <c r="C352" s="2" t="str">
        <f t="shared" si="5"/>
        <v>Yuhua Primary School</v>
      </c>
      <c r="D352" s="2" t="s">
        <v>12</v>
      </c>
      <c r="E352" s="2" t="s">
        <v>1017</v>
      </c>
      <c r="F352" s="2" t="s">
        <v>14</v>
      </c>
      <c r="G352" s="2" t="s">
        <v>1018</v>
      </c>
      <c r="I352"/>
      <c r="J352">
        <f>COUNTIF($A$2:A352,A352)</f>
        <v>1</v>
      </c>
      <c r="K352">
        <f>COUNTIFS($A$2:A352,A352,$D$2:D352,D352)</f>
        <v>1</v>
      </c>
    </row>
    <row r="353" ht="14.25" customHeight="1" spans="1:11">
      <c r="A353" s="2" t="s">
        <v>1019</v>
      </c>
      <c r="B353" s="2" t="str">
        <f>TRIM(A353)</f>
        <v>Yumin Primary School</v>
      </c>
      <c r="C353" s="2" t="str">
        <f t="shared" si="5"/>
        <v>Yumin Primary School</v>
      </c>
      <c r="D353" s="2" t="s">
        <v>17</v>
      </c>
      <c r="E353" s="2" t="s">
        <v>1020</v>
      </c>
      <c r="F353" s="2" t="s">
        <v>14</v>
      </c>
      <c r="G353" s="2" t="s">
        <v>1021</v>
      </c>
      <c r="I353"/>
      <c r="J353">
        <f>COUNTIF($A$2:A353,A353)</f>
        <v>1</v>
      </c>
      <c r="K353">
        <f>COUNTIFS($A$2:A353,A353,$D$2:D353,D353)</f>
        <v>1</v>
      </c>
    </row>
    <row r="354" ht="14.25" customHeight="1" spans="1:11">
      <c r="A354" s="2" t="s">
        <v>1022</v>
      </c>
      <c r="B354" s="2" t="str">
        <f>TRIM(A354)</f>
        <v>Yusof Ishak Secondary School</v>
      </c>
      <c r="C354" s="2" t="str">
        <f t="shared" si="5"/>
        <v>Yusof Ishak Secondary School</v>
      </c>
      <c r="D354" s="2" t="s">
        <v>12</v>
      </c>
      <c r="E354" s="2" t="s">
        <v>1023</v>
      </c>
      <c r="F354" s="2" t="s">
        <v>32</v>
      </c>
      <c r="G354" s="2" t="s">
        <v>1024</v>
      </c>
      <c r="I354"/>
      <c r="J354">
        <f>COUNTIF($A$2:A354,A354)</f>
        <v>1</v>
      </c>
      <c r="K354">
        <f>COUNTIFS($A$2:A354,A354,$D$2:D354,D354)</f>
        <v>1</v>
      </c>
    </row>
    <row r="355" ht="14.25" customHeight="1" spans="1:11">
      <c r="A355" s="2" t="s">
        <v>1025</v>
      </c>
      <c r="B355" s="2" t="str">
        <f>TRIM(A355)</f>
        <v>Yuying Secondary School</v>
      </c>
      <c r="C355" s="2" t="str">
        <f t="shared" si="5"/>
        <v>Yuying Secondary School</v>
      </c>
      <c r="D355" s="2" t="s">
        <v>30</v>
      </c>
      <c r="E355" s="2" t="s">
        <v>1026</v>
      </c>
      <c r="F355" s="2" t="s">
        <v>32</v>
      </c>
      <c r="G355" s="2" t="s">
        <v>1027</v>
      </c>
      <c r="I355"/>
      <c r="J355">
        <f>COUNTIF($A$2:A355,A355)</f>
        <v>1</v>
      </c>
      <c r="K355">
        <f>COUNTIFS($A$2:A355,A355,$D$2:D355,D355)</f>
        <v>1</v>
      </c>
    </row>
    <row r="356" ht="14.25" customHeight="1" spans="1:11">
      <c r="A356" s="2" t="s">
        <v>1028</v>
      </c>
      <c r="B356" s="2" t="str">
        <f>TRIM(A356)</f>
        <v>Zhangde Primary School</v>
      </c>
      <c r="C356" s="2" t="str">
        <f t="shared" si="5"/>
        <v>Zhangde Primary School</v>
      </c>
      <c r="D356" s="2" t="s">
        <v>30</v>
      </c>
      <c r="E356" s="2" t="s">
        <v>1029</v>
      </c>
      <c r="F356" s="2" t="s">
        <v>14</v>
      </c>
      <c r="G356" s="2" t="s">
        <v>378</v>
      </c>
      <c r="I356"/>
      <c r="J356">
        <f>COUNTIF($A$2:A356,A356)</f>
        <v>1</v>
      </c>
      <c r="K356">
        <f>COUNTIFS($A$2:A356,A356,$D$2:D356,D356)</f>
        <v>1</v>
      </c>
    </row>
    <row r="357" ht="14.25" customHeight="1" spans="1:11">
      <c r="A357" s="2" t="s">
        <v>1030</v>
      </c>
      <c r="B357" s="2" t="str">
        <f>TRIM(A357)</f>
        <v>Zhenghua Primary School</v>
      </c>
      <c r="C357" s="2" t="str">
        <f t="shared" si="5"/>
        <v>Zhenghua Primary School</v>
      </c>
      <c r="D357" s="2" t="s">
        <v>12</v>
      </c>
      <c r="E357" s="2" t="s">
        <v>1031</v>
      </c>
      <c r="F357" s="2" t="s">
        <v>14</v>
      </c>
      <c r="G357" s="2" t="s">
        <v>1032</v>
      </c>
      <c r="I357"/>
      <c r="J357">
        <f>COUNTIF($A$2:A357,A357)</f>
        <v>1</v>
      </c>
      <c r="K357">
        <f>COUNTIFS($A$2:A357,A357,$D$2:D357,D357)</f>
        <v>1</v>
      </c>
    </row>
    <row r="358" ht="14.25" customHeight="1" spans="1:11">
      <c r="A358" s="2" t="s">
        <v>1033</v>
      </c>
      <c r="B358" s="2" t="str">
        <f>TRIM(A358)</f>
        <v>Zhenghua Secondary School</v>
      </c>
      <c r="C358" s="2" t="str">
        <f t="shared" si="5"/>
        <v>Zhenghua Secondary School</v>
      </c>
      <c r="D358" s="2" t="s">
        <v>12</v>
      </c>
      <c r="E358" s="2" t="s">
        <v>1034</v>
      </c>
      <c r="F358" s="2" t="s">
        <v>32</v>
      </c>
      <c r="G358" s="2" t="s">
        <v>1035</v>
      </c>
      <c r="I358"/>
      <c r="J358">
        <f>COUNTIF($A$2:A358,A358)</f>
        <v>1</v>
      </c>
      <c r="K358">
        <f>COUNTIFS($A$2:A358,A358,$D$2:D358,D358)</f>
        <v>1</v>
      </c>
    </row>
    <row r="359" ht="14.25" customHeight="1" spans="1:11">
      <c r="A359" s="2" t="s">
        <v>1036</v>
      </c>
      <c r="B359" s="2" t="str">
        <f>TRIM(A359)</f>
        <v>Zhonghua Secondary School</v>
      </c>
      <c r="C359" s="2" t="str">
        <f t="shared" si="5"/>
        <v>Zhonghua Secondary School</v>
      </c>
      <c r="D359" s="2" t="s">
        <v>30</v>
      </c>
      <c r="E359" s="2" t="s">
        <v>1037</v>
      </c>
      <c r="F359" s="2" t="s">
        <v>32</v>
      </c>
      <c r="G359" s="2" t="s">
        <v>1038</v>
      </c>
      <c r="I359"/>
      <c r="J359">
        <f>COUNTIF($A$2:A359,A359)</f>
        <v>1</v>
      </c>
      <c r="K359">
        <f>COUNTIFS($A$2:A359,A359,$D$2:D359,D359)</f>
        <v>1</v>
      </c>
    </row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autoFilter xmlns:etc="http://www.wps.cn/officeDocument/2017/etCustomData" ref="A1:K359" etc:filterBottomFollowUsedRange="0">
    <sortState ref="A2:K359">
      <sortCondition ref="A1"/>
    </sortState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Yingxin, Estella</dc:creator>
  <cp:lastModifiedBy>Anna Boiko</cp:lastModifiedBy>
  <dcterms:created xsi:type="dcterms:W3CDTF">2018-04-15T23:46:00Z</dcterms:created>
  <dcterms:modified xsi:type="dcterms:W3CDTF">2026-07-25T15:50:09Z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5130489FDDCFCB72B0F1646AD393DB8C_42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